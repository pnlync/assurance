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F1" sheetId="2" state="visible" r:id="rId2"/>
    <sheet name="Reference" sheetId="3" state="visible" r:id="rId3"/>
    <sheet name="CMI_TMN00" sheetId="4" state="visible" r:id="rId4"/>
    <sheet name="Check_F1" sheetId="5" state="visible" r:id="rId5"/>
    <sheet name="Check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#,##0.0000"/>
    <numFmt numFmtId="166" formatCode="0.000000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bottom" wrapText="1"/>
    </xf>
    <xf numFmtId="165" fontId="3" fillId="0" borderId="0" pivotButton="0" quotePrefix="0" xfId="0"/>
    <xf numFmtId="166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lifemodel</author>
  </authors>
  <commentList>
    <comment ref="B9" authorId="0" shapeId="0">
      <text>
        <t>Solved in Python for a 10% margin. In Excel: Data &gt; What-If &gt; Goal Seek, set the model sheet's C5 to 10% by changing this cell.</t>
      </text>
    </comment>
    <comment ref="C9" authorId="0" shapeId="0">
      <text>
        <t>Solved in Python for a 10% margin. In Excel: Data &gt; What-If &gt; Goal Seek, set the model sheet's C5 to 10% by changing this cell.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  <col width="60" customWidth="1" min="4" max="4"/>
  </cols>
  <sheetData>
    <row r="1">
      <c r="A1" s="1" t="inlineStr">
        <is>
          <t>Inputs (blue = typed-in assumption; everything else in the workbook is a formula)</t>
        </is>
      </c>
    </row>
    <row r="2">
      <c r="A2" s="2" t="inlineStr">
        <is>
          <t>Assumption</t>
        </is>
      </c>
      <c r="B2" s="2" t="inlineStr">
        <is>
          <t>F1 (golden fixture)</t>
        </is>
      </c>
      <c r="C2" s="2" t="inlineStr">
        <is>
          <t>Reference (real basis)</t>
        </is>
      </c>
      <c r="D2" s="2" t="inlineStr">
        <is>
          <t>Source / note</t>
        </is>
      </c>
    </row>
    <row r="3">
      <c r="A3" s="3" t="inlineStr">
        <is>
          <t>Product</t>
        </is>
      </c>
      <c r="B3" s="4" t="inlineStr">
        <is>
          <t>LTA</t>
        </is>
      </c>
      <c r="C3" s="4" t="inlineStr">
        <is>
          <t>LTA</t>
        </is>
      </c>
      <c r="D3" s="5" t="inlineStr">
        <is>
          <t>LTA = level term; MP = mortgage protection</t>
        </is>
      </c>
    </row>
    <row r="4">
      <c r="A4" s="3" t="inlineStr">
        <is>
          <t>Issue age x</t>
        </is>
      </c>
      <c r="B4" s="4" t="n">
        <v>35</v>
      </c>
      <c r="C4" s="4" t="n">
        <v>35</v>
      </c>
      <c r="D4" s="5" t="inlineStr">
        <is>
          <t>Age last birthday at issue (SPEC §2.7)</t>
        </is>
      </c>
    </row>
    <row r="5">
      <c r="A5" s="3" t="inlineStr">
        <is>
          <t>Female (1/0)</t>
        </is>
      </c>
      <c r="B5" s="4" t="n">
        <v>0</v>
      </c>
      <c r="C5" s="4" t="n">
        <v>0</v>
      </c>
      <c r="D5" s="5" t="inlineStr"/>
    </row>
    <row r="6">
      <c r="A6" s="3" t="inlineStr">
        <is>
          <t>Smoker (1/0)</t>
        </is>
      </c>
      <c r="B6" s="4" t="n">
        <v>0</v>
      </c>
      <c r="C6" s="4" t="n">
        <v>0</v>
      </c>
      <c r="D6" s="5" t="inlineStr"/>
    </row>
    <row r="7">
      <c r="A7" s="3" t="inlineStr">
        <is>
          <t>Sum assured / initial loan (€)</t>
        </is>
      </c>
      <c r="B7" s="4" t="n">
        <v>250000</v>
      </c>
      <c r="C7" s="4" t="n">
        <v>250000</v>
      </c>
      <c r="D7" s="5" t="inlineStr"/>
    </row>
    <row r="8">
      <c r="A8" s="3" t="inlineStr">
        <is>
          <t>MP loan rate</t>
        </is>
      </c>
      <c r="B8" s="4" t="n">
        <v>0.04</v>
      </c>
      <c r="C8" s="4" t="n">
        <v>0.04</v>
      </c>
      <c r="D8" s="5" t="inlineStr">
        <is>
          <t>Used only for MP (SPEC §5)</t>
        </is>
      </c>
    </row>
    <row r="9">
      <c r="A9" s="3" t="inlineStr">
        <is>
          <t>Premium rate per €1,000</t>
        </is>
      </c>
      <c r="B9" s="6" t="n">
        <v>2.077131050821056</v>
      </c>
      <c r="C9" s="6" t="n">
        <v>1.041505434650893</v>
      </c>
      <c r="D9" s="5" t="inlineStr">
        <is>
          <t>Solved in Python (brentq) for a 10% margin; Excel confirms the margin</t>
        </is>
      </c>
    </row>
    <row r="10">
      <c r="A10" s="3" t="inlineStr">
        <is>
          <t>Policy fee (€ p.a.)</t>
        </is>
      </c>
      <c r="B10" s="4" t="n">
        <v>60</v>
      </c>
      <c r="C10" s="4" t="n">
        <v>60</v>
      </c>
      <c r="D10" s="5" t="inlineStr">
        <is>
          <t>SPEC §4.1</t>
        </is>
      </c>
    </row>
    <row r="11">
      <c r="A11" s="3" t="inlineStr">
        <is>
          <t>Mortality multiplier</t>
        </is>
      </c>
      <c r="B11" s="4" t="n">
        <v>1</v>
      </c>
      <c r="C11" s="4" t="n">
        <v>0.7117298592531563</v>
      </c>
      <c r="D11" s="5" t="inlineStr">
        <is>
          <t>Fixture: 1. Reference: X = 0.985^22.5 (SPEC §4.1)</t>
        </is>
      </c>
    </row>
    <row r="12">
      <c r="A12" s="3" t="inlineStr">
        <is>
          <t>Fixture q at base age</t>
        </is>
      </c>
      <c r="B12" s="4" t="n">
        <v>0.0005</v>
      </c>
      <c r="C12" s="4" t="inlineStr">
        <is>
          <t>n/a (CMI 00 table)</t>
        </is>
      </c>
      <c r="D12" s="5" t="inlineStr">
        <is>
          <t>SPEC §13.3 (F1 only)</t>
        </is>
      </c>
    </row>
    <row r="13">
      <c r="A13" s="3" t="inlineStr">
        <is>
          <t>Fixture base age</t>
        </is>
      </c>
      <c r="B13" s="4" t="n">
        <v>30</v>
      </c>
      <c r="C13" s="4" t="n"/>
      <c r="D13" s="5" t="inlineStr">
        <is>
          <t>SPEC §13.3</t>
        </is>
      </c>
    </row>
    <row r="14">
      <c r="A14" s="3" t="inlineStr">
        <is>
          <t>Fixture growth per year of age</t>
        </is>
      </c>
      <c r="B14" s="4" t="n">
        <v>1.08</v>
      </c>
      <c r="C14" s="4" t="n"/>
      <c r="D14" s="5" t="inlineStr">
        <is>
          <t>SPEC §13.3</t>
        </is>
      </c>
    </row>
    <row r="15">
      <c r="A15" s="3" t="inlineStr">
        <is>
          <t>Fixture female factor</t>
        </is>
      </c>
      <c r="B15" s="4" t="n">
        <v>0.7</v>
      </c>
      <c r="C15" s="4" t="n"/>
      <c r="D15" s="5" t="inlineStr">
        <is>
          <t>SPEC §13.3</t>
        </is>
      </c>
    </row>
    <row r="16">
      <c r="A16" s="3" t="inlineStr">
        <is>
          <t>Fixture smoker factor</t>
        </is>
      </c>
      <c r="B16" s="4" t="n">
        <v>1.8</v>
      </c>
      <c r="C16" s="4" t="n"/>
      <c r="D16" s="5" t="inlineStr">
        <is>
          <t>SPEC §13.3</t>
        </is>
      </c>
    </row>
    <row r="17">
      <c r="A17" s="3" t="inlineStr">
        <is>
          <t>Lapse, policy year 1</t>
        </is>
      </c>
      <c r="B17" s="4" t="n">
        <v>0.06</v>
      </c>
      <c r="C17" s="4" t="n">
        <v>0.06</v>
      </c>
      <c r="D17" s="5" t="inlineStr">
        <is>
          <t>SPEC §4.1</t>
        </is>
      </c>
    </row>
    <row r="18">
      <c r="A18" s="3" t="inlineStr">
        <is>
          <t>Lapse, policy year 2</t>
        </is>
      </c>
      <c r="B18" s="4" t="n">
        <v>0.09</v>
      </c>
      <c r="C18" s="4" t="n">
        <v>0.09</v>
      </c>
      <c r="D18" s="5" t="inlineStr"/>
    </row>
    <row r="19">
      <c r="A19" s="3" t="inlineStr">
        <is>
          <t>Lapse, policy year 3</t>
        </is>
      </c>
      <c r="B19" s="4" t="n">
        <v>0.08</v>
      </c>
      <c r="C19" s="4" t="n">
        <v>0.08</v>
      </c>
      <c r="D19" s="5" t="inlineStr"/>
    </row>
    <row r="20">
      <c r="A20" s="3" t="inlineStr">
        <is>
          <t>Lapse, policy year 4</t>
        </is>
      </c>
      <c r="B20" s="4" t="n">
        <v>0.07000000000000001</v>
      </c>
      <c r="C20" s="4" t="n">
        <v>0.07000000000000001</v>
      </c>
      <c r="D20" s="5" t="inlineStr"/>
    </row>
    <row r="21">
      <c r="A21" s="3" t="inlineStr">
        <is>
          <t>Lapse, policy year 5</t>
        </is>
      </c>
      <c r="B21" s="4" t="n">
        <v>0.06</v>
      </c>
      <c r="C21" s="4" t="n">
        <v>0.06</v>
      </c>
      <c r="D21" s="5" t="inlineStr"/>
    </row>
    <row r="22">
      <c r="A22" s="3" t="inlineStr">
        <is>
          <t>Lapse, year 6+ (0 in final year)</t>
        </is>
      </c>
      <c r="B22" s="4" t="n">
        <v>0.05</v>
      </c>
      <c r="C22" s="4" t="n">
        <v>0.05</v>
      </c>
      <c r="D22" s="5" t="inlineStr"/>
    </row>
    <row r="23">
      <c r="A23" s="3" t="inlineStr">
        <is>
          <t>Lapse multiplier</t>
        </is>
      </c>
      <c r="B23" s="4" t="n">
        <v>1</v>
      </c>
      <c r="C23" s="4" t="n">
        <v>1</v>
      </c>
      <c r="D23" s="5" t="inlineStr"/>
    </row>
    <row r="24">
      <c r="A24" s="3" t="inlineStr">
        <is>
          <t>Acquisition expense at t = 0 (€)</t>
        </is>
      </c>
      <c r="B24" s="4" t="n">
        <v>250</v>
      </c>
      <c r="C24" s="4" t="n">
        <v>250</v>
      </c>
      <c r="D24" s="5" t="inlineStr">
        <is>
          <t>SPEC §4.1</t>
        </is>
      </c>
    </row>
    <row r="25">
      <c r="A25" s="3" t="inlineStr">
        <is>
          <t>Maintenance expense (€ p.a.)</t>
        </is>
      </c>
      <c r="B25" s="4" t="n">
        <v>60</v>
      </c>
      <c r="C25" s="4" t="n">
        <v>60</v>
      </c>
      <c r="D25" s="5" t="inlineStr"/>
    </row>
    <row r="26">
      <c r="A26" s="3" t="inlineStr">
        <is>
          <t>Overhead (€ p.a.)</t>
        </is>
      </c>
      <c r="B26" s="4" t="n">
        <v>15</v>
      </c>
      <c r="C26" s="4" t="n">
        <v>15</v>
      </c>
      <c r="D26" s="5" t="inlineStr">
        <is>
          <t>Included here: Solvency II / pricing basis</t>
        </is>
      </c>
    </row>
    <row r="27">
      <c r="A27" s="3" t="inlineStr">
        <is>
          <t>Claim expense per death (€)</t>
        </is>
      </c>
      <c r="B27" s="4" t="n">
        <v>250</v>
      </c>
      <c r="C27" s="4" t="n">
        <v>250</v>
      </c>
      <c r="D27" s="5" t="inlineStr"/>
    </row>
    <row r="28">
      <c r="A28" s="3" t="inlineStr">
        <is>
          <t>Expense inflation</t>
        </is>
      </c>
      <c r="B28" s="4" t="n">
        <v>0.025</v>
      </c>
      <c r="C28" s="4" t="n">
        <v>0.025</v>
      </c>
      <c r="D28" s="5" t="inlineStr"/>
    </row>
    <row r="29">
      <c r="A29" s="3" t="inlineStr">
        <is>
          <t>Initial commission (share of premium)</t>
        </is>
      </c>
      <c r="B29" s="4" t="n">
        <v>1</v>
      </c>
      <c r="C29" s="4" t="n">
        <v>1</v>
      </c>
      <c r="D29" s="5" t="inlineStr"/>
    </row>
    <row r="30">
      <c r="A30" s="3" t="inlineStr">
        <is>
          <t>Reserving mortality multiplier</t>
        </is>
      </c>
      <c r="B30" s="4" t="n">
        <v>1.1</v>
      </c>
      <c r="C30" s="4" t="n">
        <v>1.1</v>
      </c>
      <c r="D30" s="5" t="inlineStr">
        <is>
          <t>SPEC §4.2: 110%, no lapses</t>
        </is>
      </c>
    </row>
    <row r="31">
      <c r="A31" s="3" t="inlineStr">
        <is>
          <t>Reserving interest</t>
        </is>
      </c>
      <c r="B31" s="4" t="n">
        <v>0.025</v>
      </c>
      <c r="C31" s="4" t="n">
        <v>0.025</v>
      </c>
      <c r="D31" s="5" t="inlineStr">
        <is>
          <t>SPEC §4.2</t>
        </is>
      </c>
    </row>
    <row r="32">
      <c r="A32" s="3" t="inlineStr">
        <is>
          <t>Earned rate</t>
        </is>
      </c>
      <c r="B32" s="4" t="n">
        <v>0.03</v>
      </c>
      <c r="C32" s="4" t="n">
        <v>0.03</v>
      </c>
      <c r="D32" s="5" t="inlineStr">
        <is>
          <t>SPEC §4.3</t>
        </is>
      </c>
    </row>
    <row r="33">
      <c r="A33" s="3" t="inlineStr">
        <is>
          <t>Risk discount rate</t>
        </is>
      </c>
      <c r="B33" s="4" t="n">
        <v>0.08</v>
      </c>
      <c r="C33" s="4" t="n">
        <v>0.08</v>
      </c>
      <c r="D33" s="5" t="inlineStr">
        <is>
          <t>SPEC §4.3</t>
        </is>
      </c>
    </row>
    <row r="34">
      <c r="A34" s="3" t="inlineStr">
        <is>
          <t>Valuation rate (flat) for V</t>
        </is>
      </c>
      <c r="B34" s="4" t="n">
        <v>0.03</v>
      </c>
      <c r="C34" s="4" t="n">
        <v>0.03</v>
      </c>
      <c r="D34" s="5" t="inlineStr">
        <is>
          <t>Flat 3%, as in the golden fixture</t>
        </is>
      </c>
    </row>
    <row r="35">
      <c r="A35" s="3" t="inlineStr">
        <is>
          <t>Term (years)</t>
        </is>
      </c>
      <c r="B35" s="4" t="n">
        <v>20</v>
      </c>
      <c r="C35" s="4" t="n">
        <v>20</v>
      </c>
      <c r="D35" s="5" t="inlineStr"/>
    </row>
    <row r="36">
      <c r="A36" s="3" t="inlineStr">
        <is>
          <t>SII mortality shock</t>
        </is>
      </c>
      <c r="B36" s="4" t="n">
        <v>0.15</v>
      </c>
      <c r="C36" s="4" t="n">
        <v>0.15</v>
      </c>
      <c r="D36" s="5" t="inlineStr">
        <is>
          <t>Art. 137: +15%</t>
        </is>
      </c>
    </row>
    <row r="37">
      <c r="A37" s="3" t="inlineStr">
        <is>
          <t>SII lapse-up factor</t>
        </is>
      </c>
      <c r="B37" s="4" t="n">
        <v>1.5</v>
      </c>
      <c r="C37" s="4" t="n">
        <v>1.5</v>
      </c>
      <c r="D37" s="5" t="inlineStr">
        <is>
          <t>Art. 142: × 1.5</t>
        </is>
      </c>
    </row>
    <row r="38">
      <c r="A38" s="3" t="inlineStr">
        <is>
          <t>SII mass lapse</t>
        </is>
      </c>
      <c r="B38" s="4" t="n">
        <v>0.4</v>
      </c>
      <c r="C38" s="4" t="n">
        <v>0.4</v>
      </c>
      <c r="D38" s="5" t="inlineStr">
        <is>
          <t>Art. 142: 40%</t>
        </is>
      </c>
    </row>
    <row r="39">
      <c r="A39" s="3" t="inlineStr">
        <is>
          <t>SII expense shock</t>
        </is>
      </c>
      <c r="B39" s="4" t="n">
        <v>0.1</v>
      </c>
      <c r="C39" s="4" t="n">
        <v>0.1</v>
      </c>
      <c r="D39" s="5" t="inlineStr">
        <is>
          <t>Art. 140: +10%</t>
        </is>
      </c>
    </row>
    <row r="40">
      <c r="A40" s="3" t="inlineStr">
        <is>
          <t>SII inflation shock</t>
        </is>
      </c>
      <c r="B40" s="4" t="n">
        <v>0.01</v>
      </c>
      <c r="C40" s="4" t="n">
        <v>0.01</v>
      </c>
      <c r="D40" s="5" t="inlineStr">
        <is>
          <t>Art. 140: +1pp</t>
        </is>
      </c>
    </row>
    <row r="41">
      <c r="A41" s="3" t="inlineStr">
        <is>
          <t>SII catastrophe shock</t>
        </is>
      </c>
      <c r="B41" s="4" t="n">
        <v>0.0015</v>
      </c>
      <c r="C41" s="4" t="n">
        <v>0.0015</v>
      </c>
      <c r="D41" s="5" t="inlineStr">
        <is>
          <t>Art. 143: +0.0015 for 12 months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F1 — level term, male 35 non-smoker, €250k, 20 years (golden fixture basis)</t>
        </is>
      </c>
    </row>
    <row r="2">
      <c r="B2" s="3" t="inlineStr">
        <is>
          <t>Premium (€ p.a.)</t>
        </is>
      </c>
      <c r="C2" s="2">
        <f>Inputs!$B$9*Inputs!$B$7/1000+Inputs!$B$10</f>
        <v/>
      </c>
      <c r="E2" s="3" t="inlineStr">
        <is>
          <t>IRR</t>
        </is>
      </c>
      <c r="F2" s="7">
        <f>IRR(Q8:Q27)</f>
        <v/>
      </c>
      <c r="H2" s="3" t="inlineStr">
        <is>
          <t>SII loss: mortality</t>
        </is>
      </c>
      <c r="I2" s="2">
        <f>MAX(0,W8-L8)</f>
        <v/>
      </c>
    </row>
    <row r="3">
      <c r="B3" s="3" t="inlineStr">
        <is>
          <t>NPV at RDR</t>
        </is>
      </c>
      <c r="C3" s="2">
        <f>SUM(S8:S27)</f>
        <v/>
      </c>
      <c r="E3" s="3" t="inlineStr">
        <is>
          <t>Discounted payback (years)</t>
        </is>
      </c>
      <c r="F3" s="2">
        <f>MIN(U8:U27)</f>
        <v/>
      </c>
      <c r="H3" s="3" t="inlineStr">
        <is>
          <t>SII loss: lapse up</t>
        </is>
      </c>
      <c r="I3" s="2">
        <f>IF(L8&lt;0,MAX(0,X8-L8),0)</f>
        <v/>
      </c>
    </row>
    <row r="4">
      <c r="B4" s="3" t="inlineStr">
        <is>
          <t>EPV of premiums at RDR</t>
        </is>
      </c>
      <c r="C4" s="2">
        <f>SUM(V8:V27)</f>
        <v/>
      </c>
      <c r="E4" s="3" t="inlineStr">
        <is>
          <t>V at issue</t>
        </is>
      </c>
      <c r="F4" s="2">
        <f>L8</f>
        <v/>
      </c>
      <c r="H4" s="3" t="inlineStr">
        <is>
          <t>SII loss: mass lapse</t>
        </is>
      </c>
      <c r="I4" s="2">
        <f>Inputs!$B$38*MAX(0,-L8)</f>
        <v/>
      </c>
    </row>
    <row r="5">
      <c r="B5" s="3" t="inlineStr">
        <is>
          <t>Profit margin</t>
        </is>
      </c>
      <c r="C5" s="7">
        <f>C3/C4</f>
        <v/>
      </c>
      <c r="H5" s="3" t="inlineStr">
        <is>
          <t>SII loss: expense</t>
        </is>
      </c>
      <c r="I5" s="2">
        <f>MAX(0,Y8-L8)</f>
        <v/>
      </c>
    </row>
    <row r="6">
      <c r="H6" s="3" t="inlineStr">
        <is>
          <t>SII loss: catastrophe</t>
        </is>
      </c>
      <c r="I6" s="2">
        <f>MAX(0,K8*Inputs!$B$41*((F8+J8)-(1-D8)*L9))</f>
        <v/>
      </c>
    </row>
    <row r="7" ht="42" customHeight="1">
      <c r="A7" s="8" t="inlineStr">
        <is>
          <t>t</t>
        </is>
      </c>
      <c r="B7" s="8" t="inlineStr">
        <is>
          <t>Attained age</t>
        </is>
      </c>
      <c r="C7" s="8" t="inlineStr">
        <is>
          <t>q_t</t>
        </is>
      </c>
      <c r="D7" s="8" t="inlineStr">
        <is>
          <t>w_t</t>
        </is>
      </c>
      <c r="E7" s="8" t="inlineStr">
        <is>
          <t>ℓ_t (start of year)</t>
        </is>
      </c>
      <c r="F7" s="8" t="inlineStr">
        <is>
          <t>S_t</t>
        </is>
      </c>
      <c r="G7" s="8" t="inlineStr">
        <is>
          <t>Premium</t>
        </is>
      </c>
      <c r="H7" s="8" t="inlineStr">
        <is>
          <t>Commission</t>
        </is>
      </c>
      <c r="I7" s="8" t="inlineStr">
        <is>
          <t>Expenses (start)</t>
        </is>
      </c>
      <c r="J7" s="8" t="inlineStr">
        <is>
          <t>Claim expense</t>
        </is>
      </c>
      <c r="K7" s="8" t="inlineStr">
        <is>
          <t>v_t</t>
        </is>
      </c>
      <c r="L7" s="8" t="inlineStr">
        <is>
          <t>V_t best estimate</t>
        </is>
      </c>
      <c r="M7" s="8" t="inlineStr">
        <is>
          <t>q reserving</t>
        </is>
      </c>
      <c r="N7" s="8" t="inlineStr">
        <is>
          <t>V reserving</t>
        </is>
      </c>
      <c r="O7" s="8" t="inlineStr">
        <is>
          <t>Reserve _tV</t>
        </is>
      </c>
      <c r="P7" s="8" t="inlineStr">
        <is>
          <t>Profit vector Pr_t</t>
        </is>
      </c>
      <c r="Q7" s="8" t="inlineStr">
        <is>
          <t>Profit signature Π_t</t>
        </is>
      </c>
      <c r="R7" s="8" t="inlineStr">
        <is>
          <t>RDR discount</t>
        </is>
      </c>
      <c r="S7" s="8" t="inlineStr">
        <is>
          <t>PV of Π_t</t>
        </is>
      </c>
      <c r="T7" s="8" t="inlineStr">
        <is>
          <t>Cumulative PV</t>
        </is>
      </c>
      <c r="U7" s="8" t="inlineStr">
        <is>
          <t>Payback helper</t>
        </is>
      </c>
      <c r="V7" s="8" t="inlineStr">
        <is>
          <t>PV premium term</t>
        </is>
      </c>
      <c r="W7" s="8" t="inlineStr">
        <is>
          <t>V mortality +15%</t>
        </is>
      </c>
      <c r="X7" s="8" t="inlineStr">
        <is>
          <t>V lapse up ×1.5</t>
        </is>
      </c>
      <c r="Y7" s="8" t="inlineStr">
        <is>
          <t>V expense +10%, infl +1pp</t>
        </is>
      </c>
    </row>
    <row r="8">
      <c r="A8" s="9" t="n">
        <v>0</v>
      </c>
      <c r="B8" s="9">
        <f>Inputs!$B$4+A8</f>
        <v/>
      </c>
      <c r="C8" s="10">
        <f>MIN(1,Inputs!$B$11*Inputs!$B$12*Inputs!$B$14^(B8-Inputs!$B$13)*IF(Inputs!$B$5=1,Inputs!$B$15,1)*IF(Inputs!$B$6=1,Inputs!$B$16,1))</f>
        <v/>
      </c>
      <c r="D8" s="10">
        <f>IF(A8=Inputs!$B$35-1,0,MIN(1,Inputs!$B$23*IF(A8&lt;5,INDEX(Inputs!$B$17:$B$21,A8+1),Inputs!$B$22)))</f>
        <v/>
      </c>
      <c r="E8" s="10" t="n">
        <v>1</v>
      </c>
      <c r="F8" s="9">
        <f>IF(Inputs!$B$3="MP",Inputs!$B$7*(1-(1/(1+Inputs!$B$8))^(Inputs!$B$35-A8))/(1-(1/(1+Inputs!$B$8))^Inputs!$B$35),Inputs!$B$7)</f>
        <v/>
      </c>
      <c r="G8" s="9">
        <f>$C$2</f>
        <v/>
      </c>
      <c r="H8" s="9">
        <f>IF(A8=0,Inputs!$B$29*G8,0)</f>
        <v/>
      </c>
      <c r="I8" s="9">
        <f>IF(A8=0,Inputs!$B$24,0)+(Inputs!$B$25+Inputs!$B$26)*(1+Inputs!$B$28)^A8</f>
        <v/>
      </c>
      <c r="J8" s="9">
        <f>Inputs!$B$27*(1+Inputs!$B$28)^A8</f>
        <v/>
      </c>
      <c r="K8" s="10">
        <f>1/(1+Inputs!$B$34)</f>
        <v/>
      </c>
      <c r="L8" s="9">
        <f>-G8+H8+I8+K8*(C8*(F8+J8)+(1-C8)*(1-D8)*L9)</f>
        <v/>
      </c>
      <c r="M8" s="10">
        <f>MIN(1,C8*Inputs!$B$30)</f>
        <v/>
      </c>
      <c r="N8" s="9">
        <f>-G8+H8+I8+(1/(1+Inputs!$B$31))*(M8*(F8+J8)+(1-M8)*N9)</f>
        <v/>
      </c>
      <c r="O8" s="9">
        <f>IF(A8=0,0,MAX(0,N8))</f>
        <v/>
      </c>
      <c r="P8" s="9">
        <f>(O8+G8-H8-I8)*(1+Inputs!$B$32)-C8*(F8+J8)-(1-C8)*(1-D8)*O9</f>
        <v/>
      </c>
      <c r="Q8" s="9">
        <f>E8*P8</f>
        <v/>
      </c>
      <c r="R8" s="10">
        <f>(1+Inputs!$B$33)^-(A8+1)</f>
        <v/>
      </c>
      <c r="S8" s="9">
        <f>Q8*R8</f>
        <v/>
      </c>
      <c r="T8" s="9">
        <f>SUM(S$8:S8)</f>
        <v/>
      </c>
      <c r="U8" s="9">
        <f>IF(T8&gt;=0,A8+1,999)</f>
        <v/>
      </c>
      <c r="V8" s="9">
        <f>E8*G8*(1+Inputs!$B$33)^-A8</f>
        <v/>
      </c>
      <c r="W8" s="9">
        <f>-G8+H8+I8+K8*(MIN(1,C8*(1+Inputs!$B$36))*(F8+J8)+(1-MIN(1,C8*(1+Inputs!$B$36)))*(1-D8)*W9)</f>
        <v/>
      </c>
      <c r="X8" s="9">
        <f>-G8+H8+I8+K8*(C8*(F8+J8)+(1-C8)*(1-MIN(1,Inputs!$B$37*D8))*X9)</f>
        <v/>
      </c>
      <c r="Y8" s="9">
        <f>-G8+H8+(IF(A8=0,Inputs!$B$24,0)+(Inputs!$B$25+Inputs!$B$26)*(1+Inputs!$B$28+Inputs!$B$40)^A8)*(1+Inputs!$B$39)+K8*(C8*(F8+Inputs!$B$27*(1+Inputs!$B$39)*(1+Inputs!$B$28+Inputs!$B$40)^A8)+(1-C8)*(1-D8)*Y9)</f>
        <v/>
      </c>
    </row>
    <row r="9">
      <c r="A9" s="9" t="n">
        <v>1</v>
      </c>
      <c r="B9" s="9">
        <f>Inputs!$B$4+A9</f>
        <v/>
      </c>
      <c r="C9" s="10">
        <f>MIN(1,Inputs!$B$11*Inputs!$B$12*Inputs!$B$14^(B9-Inputs!$B$13)*IF(Inputs!$B$5=1,Inputs!$B$15,1)*IF(Inputs!$B$6=1,Inputs!$B$16,1))</f>
        <v/>
      </c>
      <c r="D9" s="10">
        <f>IF(A9=Inputs!$B$35-1,0,MIN(1,Inputs!$B$23*IF(A9&lt;5,INDEX(Inputs!$B$17:$B$21,A9+1),Inputs!$B$22)))</f>
        <v/>
      </c>
      <c r="E9" s="10">
        <f>E8*(1-C8)*(1-D8)</f>
        <v/>
      </c>
      <c r="F9" s="9">
        <f>IF(Inputs!$B$3="MP",Inputs!$B$7*(1-(1/(1+Inputs!$B$8))^(Inputs!$B$35-A9))/(1-(1/(1+Inputs!$B$8))^Inputs!$B$35),Inputs!$B$7)</f>
        <v/>
      </c>
      <c r="G9" s="9">
        <f>$C$2</f>
        <v/>
      </c>
      <c r="H9" s="9">
        <f>IF(A9=0,Inputs!$B$29*G9,0)</f>
        <v/>
      </c>
      <c r="I9" s="9">
        <f>IF(A9=0,Inputs!$B$24,0)+(Inputs!$B$25+Inputs!$B$26)*(1+Inputs!$B$28)^A9</f>
        <v/>
      </c>
      <c r="J9" s="9">
        <f>Inputs!$B$27*(1+Inputs!$B$28)^A9</f>
        <v/>
      </c>
      <c r="K9" s="10">
        <f>1/(1+Inputs!$B$34)</f>
        <v/>
      </c>
      <c r="L9" s="9">
        <f>-G9+H9+I9+K9*(C9*(F9+J9)+(1-C9)*(1-D9)*L10)</f>
        <v/>
      </c>
      <c r="M9" s="10">
        <f>MIN(1,C9*Inputs!$B$30)</f>
        <v/>
      </c>
      <c r="N9" s="9">
        <f>-G9+H9+I9+(1/(1+Inputs!$B$31))*(M9*(F9+J9)+(1-M9)*N10)</f>
        <v/>
      </c>
      <c r="O9" s="9">
        <f>IF(A9=0,0,MAX(0,N9))</f>
        <v/>
      </c>
      <c r="P9" s="9">
        <f>(O9+G9-H9-I9)*(1+Inputs!$B$32)-C9*(F9+J9)-(1-C9)*(1-D9)*O10</f>
        <v/>
      </c>
      <c r="Q9" s="9">
        <f>E9*P9</f>
        <v/>
      </c>
      <c r="R9" s="10">
        <f>(1+Inputs!$B$33)^-(A9+1)</f>
        <v/>
      </c>
      <c r="S9" s="9">
        <f>Q9*R9</f>
        <v/>
      </c>
      <c r="T9" s="9">
        <f>SUM(S$8:S9)</f>
        <v/>
      </c>
      <c r="U9" s="9">
        <f>IF(T9&gt;=0,A9+1,999)</f>
        <v/>
      </c>
      <c r="V9" s="9">
        <f>E9*G9*(1+Inputs!$B$33)^-A9</f>
        <v/>
      </c>
      <c r="W9" s="9">
        <f>-G9+H9+I9+K9*(MIN(1,C9*(1+Inputs!$B$36))*(F9+J9)+(1-MIN(1,C9*(1+Inputs!$B$36)))*(1-D9)*W10)</f>
        <v/>
      </c>
      <c r="X9" s="9">
        <f>-G9+H9+I9+K9*(C9*(F9+J9)+(1-C9)*(1-MIN(1,Inputs!$B$37*D9))*X10)</f>
        <v/>
      </c>
      <c r="Y9" s="9">
        <f>-G9+H9+(IF(A9=0,Inputs!$B$24,0)+(Inputs!$B$25+Inputs!$B$26)*(1+Inputs!$B$28+Inputs!$B$40)^A9)*(1+Inputs!$B$39)+K9*(C9*(F9+Inputs!$B$27*(1+Inputs!$B$39)*(1+Inputs!$B$28+Inputs!$B$40)^A9)+(1-C9)*(1-D9)*Y10)</f>
        <v/>
      </c>
    </row>
    <row r="10">
      <c r="A10" s="9" t="n">
        <v>2</v>
      </c>
      <c r="B10" s="9">
        <f>Inputs!$B$4+A10</f>
        <v/>
      </c>
      <c r="C10" s="10">
        <f>MIN(1,Inputs!$B$11*Inputs!$B$12*Inputs!$B$14^(B10-Inputs!$B$13)*IF(Inputs!$B$5=1,Inputs!$B$15,1)*IF(Inputs!$B$6=1,Inputs!$B$16,1))</f>
        <v/>
      </c>
      <c r="D10" s="10">
        <f>IF(A10=Inputs!$B$35-1,0,MIN(1,Inputs!$B$23*IF(A10&lt;5,INDEX(Inputs!$B$17:$B$21,A10+1),Inputs!$B$22)))</f>
        <v/>
      </c>
      <c r="E10" s="10">
        <f>E9*(1-C9)*(1-D9)</f>
        <v/>
      </c>
      <c r="F10" s="9">
        <f>IF(Inputs!$B$3="MP",Inputs!$B$7*(1-(1/(1+Inputs!$B$8))^(Inputs!$B$35-A10))/(1-(1/(1+Inputs!$B$8))^Inputs!$B$35),Inputs!$B$7)</f>
        <v/>
      </c>
      <c r="G10" s="9">
        <f>$C$2</f>
        <v/>
      </c>
      <c r="H10" s="9">
        <f>IF(A10=0,Inputs!$B$29*G10,0)</f>
        <v/>
      </c>
      <c r="I10" s="9">
        <f>IF(A10=0,Inputs!$B$24,0)+(Inputs!$B$25+Inputs!$B$26)*(1+Inputs!$B$28)^A10</f>
        <v/>
      </c>
      <c r="J10" s="9">
        <f>Inputs!$B$27*(1+Inputs!$B$28)^A10</f>
        <v/>
      </c>
      <c r="K10" s="10">
        <f>1/(1+Inputs!$B$34)</f>
        <v/>
      </c>
      <c r="L10" s="9">
        <f>-G10+H10+I10+K10*(C10*(F10+J10)+(1-C10)*(1-D10)*L11)</f>
        <v/>
      </c>
      <c r="M10" s="10">
        <f>MIN(1,C10*Inputs!$B$30)</f>
        <v/>
      </c>
      <c r="N10" s="9">
        <f>-G10+H10+I10+(1/(1+Inputs!$B$31))*(M10*(F10+J10)+(1-M10)*N11)</f>
        <v/>
      </c>
      <c r="O10" s="9">
        <f>IF(A10=0,0,MAX(0,N10))</f>
        <v/>
      </c>
      <c r="P10" s="9">
        <f>(O10+G10-H10-I10)*(1+Inputs!$B$32)-C10*(F10+J10)-(1-C10)*(1-D10)*O11</f>
        <v/>
      </c>
      <c r="Q10" s="9">
        <f>E10*P10</f>
        <v/>
      </c>
      <c r="R10" s="10">
        <f>(1+Inputs!$B$33)^-(A10+1)</f>
        <v/>
      </c>
      <c r="S10" s="9">
        <f>Q10*R10</f>
        <v/>
      </c>
      <c r="T10" s="9">
        <f>SUM(S$8:S10)</f>
        <v/>
      </c>
      <c r="U10" s="9">
        <f>IF(T10&gt;=0,A10+1,999)</f>
        <v/>
      </c>
      <c r="V10" s="9">
        <f>E10*G10*(1+Inputs!$B$33)^-A10</f>
        <v/>
      </c>
      <c r="W10" s="9">
        <f>-G10+H10+I10+K10*(MIN(1,C10*(1+Inputs!$B$36))*(F10+J10)+(1-MIN(1,C10*(1+Inputs!$B$36)))*(1-D10)*W11)</f>
        <v/>
      </c>
      <c r="X10" s="9">
        <f>-G10+H10+I10+K10*(C10*(F10+J10)+(1-C10)*(1-MIN(1,Inputs!$B$37*D10))*X11)</f>
        <v/>
      </c>
      <c r="Y10" s="9">
        <f>-G10+H10+(IF(A10=0,Inputs!$B$24,0)+(Inputs!$B$25+Inputs!$B$26)*(1+Inputs!$B$28+Inputs!$B$40)^A10)*(1+Inputs!$B$39)+K10*(C10*(F10+Inputs!$B$27*(1+Inputs!$B$39)*(1+Inputs!$B$28+Inputs!$B$40)^A10)+(1-C10)*(1-D10)*Y11)</f>
        <v/>
      </c>
    </row>
    <row r="11">
      <c r="A11" s="9" t="n">
        <v>3</v>
      </c>
      <c r="B11" s="9">
        <f>Inputs!$B$4+A11</f>
        <v/>
      </c>
      <c r="C11" s="10">
        <f>MIN(1,Inputs!$B$11*Inputs!$B$12*Inputs!$B$14^(B11-Inputs!$B$13)*IF(Inputs!$B$5=1,Inputs!$B$15,1)*IF(Inputs!$B$6=1,Inputs!$B$16,1))</f>
        <v/>
      </c>
      <c r="D11" s="10">
        <f>IF(A11=Inputs!$B$35-1,0,MIN(1,Inputs!$B$23*IF(A11&lt;5,INDEX(Inputs!$B$17:$B$21,A11+1),Inputs!$B$22)))</f>
        <v/>
      </c>
      <c r="E11" s="10">
        <f>E10*(1-C10)*(1-D10)</f>
        <v/>
      </c>
      <c r="F11" s="9">
        <f>IF(Inputs!$B$3="MP",Inputs!$B$7*(1-(1/(1+Inputs!$B$8))^(Inputs!$B$35-A11))/(1-(1/(1+Inputs!$B$8))^Inputs!$B$35),Inputs!$B$7)</f>
        <v/>
      </c>
      <c r="G11" s="9">
        <f>$C$2</f>
        <v/>
      </c>
      <c r="H11" s="9">
        <f>IF(A11=0,Inputs!$B$29*G11,0)</f>
        <v/>
      </c>
      <c r="I11" s="9">
        <f>IF(A11=0,Inputs!$B$24,0)+(Inputs!$B$25+Inputs!$B$26)*(1+Inputs!$B$28)^A11</f>
        <v/>
      </c>
      <c r="J11" s="9">
        <f>Inputs!$B$27*(1+Inputs!$B$28)^A11</f>
        <v/>
      </c>
      <c r="K11" s="10">
        <f>1/(1+Inputs!$B$34)</f>
        <v/>
      </c>
      <c r="L11" s="9">
        <f>-G11+H11+I11+K11*(C11*(F11+J11)+(1-C11)*(1-D11)*L12)</f>
        <v/>
      </c>
      <c r="M11" s="10">
        <f>MIN(1,C11*Inputs!$B$30)</f>
        <v/>
      </c>
      <c r="N11" s="9">
        <f>-G11+H11+I11+(1/(1+Inputs!$B$31))*(M11*(F11+J11)+(1-M11)*N12)</f>
        <v/>
      </c>
      <c r="O11" s="9">
        <f>IF(A11=0,0,MAX(0,N11))</f>
        <v/>
      </c>
      <c r="P11" s="9">
        <f>(O11+G11-H11-I11)*(1+Inputs!$B$32)-C11*(F11+J11)-(1-C11)*(1-D11)*O12</f>
        <v/>
      </c>
      <c r="Q11" s="9">
        <f>E11*P11</f>
        <v/>
      </c>
      <c r="R11" s="10">
        <f>(1+Inputs!$B$33)^-(A11+1)</f>
        <v/>
      </c>
      <c r="S11" s="9">
        <f>Q11*R11</f>
        <v/>
      </c>
      <c r="T11" s="9">
        <f>SUM(S$8:S11)</f>
        <v/>
      </c>
      <c r="U11" s="9">
        <f>IF(T11&gt;=0,A11+1,999)</f>
        <v/>
      </c>
      <c r="V11" s="9">
        <f>E11*G11*(1+Inputs!$B$33)^-A11</f>
        <v/>
      </c>
      <c r="W11" s="9">
        <f>-G11+H11+I11+K11*(MIN(1,C11*(1+Inputs!$B$36))*(F11+J11)+(1-MIN(1,C11*(1+Inputs!$B$36)))*(1-D11)*W12)</f>
        <v/>
      </c>
      <c r="X11" s="9">
        <f>-G11+H11+I11+K11*(C11*(F11+J11)+(1-C11)*(1-MIN(1,Inputs!$B$37*D11))*X12)</f>
        <v/>
      </c>
      <c r="Y11" s="9">
        <f>-G11+H11+(IF(A11=0,Inputs!$B$24,0)+(Inputs!$B$25+Inputs!$B$26)*(1+Inputs!$B$28+Inputs!$B$40)^A11)*(1+Inputs!$B$39)+K11*(C11*(F11+Inputs!$B$27*(1+Inputs!$B$39)*(1+Inputs!$B$28+Inputs!$B$40)^A11)+(1-C11)*(1-D11)*Y12)</f>
        <v/>
      </c>
    </row>
    <row r="12">
      <c r="A12" s="9" t="n">
        <v>4</v>
      </c>
      <c r="B12" s="9">
        <f>Inputs!$B$4+A12</f>
        <v/>
      </c>
      <c r="C12" s="10">
        <f>MIN(1,Inputs!$B$11*Inputs!$B$12*Inputs!$B$14^(B12-Inputs!$B$13)*IF(Inputs!$B$5=1,Inputs!$B$15,1)*IF(Inputs!$B$6=1,Inputs!$B$16,1))</f>
        <v/>
      </c>
      <c r="D12" s="10">
        <f>IF(A12=Inputs!$B$35-1,0,MIN(1,Inputs!$B$23*IF(A12&lt;5,INDEX(Inputs!$B$17:$B$21,A12+1),Inputs!$B$22)))</f>
        <v/>
      </c>
      <c r="E12" s="10">
        <f>E11*(1-C11)*(1-D11)</f>
        <v/>
      </c>
      <c r="F12" s="9">
        <f>IF(Inputs!$B$3="MP",Inputs!$B$7*(1-(1/(1+Inputs!$B$8))^(Inputs!$B$35-A12))/(1-(1/(1+Inputs!$B$8))^Inputs!$B$35),Inputs!$B$7)</f>
        <v/>
      </c>
      <c r="G12" s="9">
        <f>$C$2</f>
        <v/>
      </c>
      <c r="H12" s="9">
        <f>IF(A12=0,Inputs!$B$29*G12,0)</f>
        <v/>
      </c>
      <c r="I12" s="9">
        <f>IF(A12=0,Inputs!$B$24,0)+(Inputs!$B$25+Inputs!$B$26)*(1+Inputs!$B$28)^A12</f>
        <v/>
      </c>
      <c r="J12" s="9">
        <f>Inputs!$B$27*(1+Inputs!$B$28)^A12</f>
        <v/>
      </c>
      <c r="K12" s="10">
        <f>1/(1+Inputs!$B$34)</f>
        <v/>
      </c>
      <c r="L12" s="9">
        <f>-G12+H12+I12+K12*(C12*(F12+J12)+(1-C12)*(1-D12)*L13)</f>
        <v/>
      </c>
      <c r="M12" s="10">
        <f>MIN(1,C12*Inputs!$B$30)</f>
        <v/>
      </c>
      <c r="N12" s="9">
        <f>-G12+H12+I12+(1/(1+Inputs!$B$31))*(M12*(F12+J12)+(1-M12)*N13)</f>
        <v/>
      </c>
      <c r="O12" s="9">
        <f>IF(A12=0,0,MAX(0,N12))</f>
        <v/>
      </c>
      <c r="P12" s="9">
        <f>(O12+G12-H12-I12)*(1+Inputs!$B$32)-C12*(F12+J12)-(1-C12)*(1-D12)*O13</f>
        <v/>
      </c>
      <c r="Q12" s="9">
        <f>E12*P12</f>
        <v/>
      </c>
      <c r="R12" s="10">
        <f>(1+Inputs!$B$33)^-(A12+1)</f>
        <v/>
      </c>
      <c r="S12" s="9">
        <f>Q12*R12</f>
        <v/>
      </c>
      <c r="T12" s="9">
        <f>SUM(S$8:S12)</f>
        <v/>
      </c>
      <c r="U12" s="9">
        <f>IF(T12&gt;=0,A12+1,999)</f>
        <v/>
      </c>
      <c r="V12" s="9">
        <f>E12*G12*(1+Inputs!$B$33)^-A12</f>
        <v/>
      </c>
      <c r="W12" s="9">
        <f>-G12+H12+I12+K12*(MIN(1,C12*(1+Inputs!$B$36))*(F12+J12)+(1-MIN(1,C12*(1+Inputs!$B$36)))*(1-D12)*W13)</f>
        <v/>
      </c>
      <c r="X12" s="9">
        <f>-G12+H12+I12+K12*(C12*(F12+J12)+(1-C12)*(1-MIN(1,Inputs!$B$37*D12))*X13)</f>
        <v/>
      </c>
      <c r="Y12" s="9">
        <f>-G12+H12+(IF(A12=0,Inputs!$B$24,0)+(Inputs!$B$25+Inputs!$B$26)*(1+Inputs!$B$28+Inputs!$B$40)^A12)*(1+Inputs!$B$39)+K12*(C12*(F12+Inputs!$B$27*(1+Inputs!$B$39)*(1+Inputs!$B$28+Inputs!$B$40)^A12)+(1-C12)*(1-D12)*Y13)</f>
        <v/>
      </c>
    </row>
    <row r="13">
      <c r="A13" s="9" t="n">
        <v>5</v>
      </c>
      <c r="B13" s="9">
        <f>Inputs!$B$4+A13</f>
        <v/>
      </c>
      <c r="C13" s="10">
        <f>MIN(1,Inputs!$B$11*Inputs!$B$12*Inputs!$B$14^(B13-Inputs!$B$13)*IF(Inputs!$B$5=1,Inputs!$B$15,1)*IF(Inputs!$B$6=1,Inputs!$B$16,1))</f>
        <v/>
      </c>
      <c r="D13" s="10">
        <f>IF(A13=Inputs!$B$35-1,0,MIN(1,Inputs!$B$23*IF(A13&lt;5,INDEX(Inputs!$B$17:$B$21,A13+1),Inputs!$B$22)))</f>
        <v/>
      </c>
      <c r="E13" s="10">
        <f>E12*(1-C12)*(1-D12)</f>
        <v/>
      </c>
      <c r="F13" s="9">
        <f>IF(Inputs!$B$3="MP",Inputs!$B$7*(1-(1/(1+Inputs!$B$8))^(Inputs!$B$35-A13))/(1-(1/(1+Inputs!$B$8))^Inputs!$B$35),Inputs!$B$7)</f>
        <v/>
      </c>
      <c r="G13" s="9">
        <f>$C$2</f>
        <v/>
      </c>
      <c r="H13" s="9">
        <f>IF(A13=0,Inputs!$B$29*G13,0)</f>
        <v/>
      </c>
      <c r="I13" s="9">
        <f>IF(A13=0,Inputs!$B$24,0)+(Inputs!$B$25+Inputs!$B$26)*(1+Inputs!$B$28)^A13</f>
        <v/>
      </c>
      <c r="J13" s="9">
        <f>Inputs!$B$27*(1+Inputs!$B$28)^A13</f>
        <v/>
      </c>
      <c r="K13" s="10">
        <f>1/(1+Inputs!$B$34)</f>
        <v/>
      </c>
      <c r="L13" s="9">
        <f>-G13+H13+I13+K13*(C13*(F13+J13)+(1-C13)*(1-D13)*L14)</f>
        <v/>
      </c>
      <c r="M13" s="10">
        <f>MIN(1,C13*Inputs!$B$30)</f>
        <v/>
      </c>
      <c r="N13" s="9">
        <f>-G13+H13+I13+(1/(1+Inputs!$B$31))*(M13*(F13+J13)+(1-M13)*N14)</f>
        <v/>
      </c>
      <c r="O13" s="9">
        <f>IF(A13=0,0,MAX(0,N13))</f>
        <v/>
      </c>
      <c r="P13" s="9">
        <f>(O13+G13-H13-I13)*(1+Inputs!$B$32)-C13*(F13+J13)-(1-C13)*(1-D13)*O14</f>
        <v/>
      </c>
      <c r="Q13" s="9">
        <f>E13*P13</f>
        <v/>
      </c>
      <c r="R13" s="10">
        <f>(1+Inputs!$B$33)^-(A13+1)</f>
        <v/>
      </c>
      <c r="S13" s="9">
        <f>Q13*R13</f>
        <v/>
      </c>
      <c r="T13" s="9">
        <f>SUM(S$8:S13)</f>
        <v/>
      </c>
      <c r="U13" s="9">
        <f>IF(T13&gt;=0,A13+1,999)</f>
        <v/>
      </c>
      <c r="V13" s="9">
        <f>E13*G13*(1+Inputs!$B$33)^-A13</f>
        <v/>
      </c>
      <c r="W13" s="9">
        <f>-G13+H13+I13+K13*(MIN(1,C13*(1+Inputs!$B$36))*(F13+J13)+(1-MIN(1,C13*(1+Inputs!$B$36)))*(1-D13)*W14)</f>
        <v/>
      </c>
      <c r="X13" s="9">
        <f>-G13+H13+I13+K13*(C13*(F13+J13)+(1-C13)*(1-MIN(1,Inputs!$B$37*D13))*X14)</f>
        <v/>
      </c>
      <c r="Y13" s="9">
        <f>-G13+H13+(IF(A13=0,Inputs!$B$24,0)+(Inputs!$B$25+Inputs!$B$26)*(1+Inputs!$B$28+Inputs!$B$40)^A13)*(1+Inputs!$B$39)+K13*(C13*(F13+Inputs!$B$27*(1+Inputs!$B$39)*(1+Inputs!$B$28+Inputs!$B$40)^A13)+(1-C13)*(1-D13)*Y14)</f>
        <v/>
      </c>
    </row>
    <row r="14">
      <c r="A14" s="9" t="n">
        <v>6</v>
      </c>
      <c r="B14" s="9">
        <f>Inputs!$B$4+A14</f>
        <v/>
      </c>
      <c r="C14" s="10">
        <f>MIN(1,Inputs!$B$11*Inputs!$B$12*Inputs!$B$14^(B14-Inputs!$B$13)*IF(Inputs!$B$5=1,Inputs!$B$15,1)*IF(Inputs!$B$6=1,Inputs!$B$16,1))</f>
        <v/>
      </c>
      <c r="D14" s="10">
        <f>IF(A14=Inputs!$B$35-1,0,MIN(1,Inputs!$B$23*IF(A14&lt;5,INDEX(Inputs!$B$17:$B$21,A14+1),Inputs!$B$22)))</f>
        <v/>
      </c>
      <c r="E14" s="10">
        <f>E13*(1-C13)*(1-D13)</f>
        <v/>
      </c>
      <c r="F14" s="9">
        <f>IF(Inputs!$B$3="MP",Inputs!$B$7*(1-(1/(1+Inputs!$B$8))^(Inputs!$B$35-A14))/(1-(1/(1+Inputs!$B$8))^Inputs!$B$35),Inputs!$B$7)</f>
        <v/>
      </c>
      <c r="G14" s="9">
        <f>$C$2</f>
        <v/>
      </c>
      <c r="H14" s="9">
        <f>IF(A14=0,Inputs!$B$29*G14,0)</f>
        <v/>
      </c>
      <c r="I14" s="9">
        <f>IF(A14=0,Inputs!$B$24,0)+(Inputs!$B$25+Inputs!$B$26)*(1+Inputs!$B$28)^A14</f>
        <v/>
      </c>
      <c r="J14" s="9">
        <f>Inputs!$B$27*(1+Inputs!$B$28)^A14</f>
        <v/>
      </c>
      <c r="K14" s="10">
        <f>1/(1+Inputs!$B$34)</f>
        <v/>
      </c>
      <c r="L14" s="9">
        <f>-G14+H14+I14+K14*(C14*(F14+J14)+(1-C14)*(1-D14)*L15)</f>
        <v/>
      </c>
      <c r="M14" s="10">
        <f>MIN(1,C14*Inputs!$B$30)</f>
        <v/>
      </c>
      <c r="N14" s="9">
        <f>-G14+H14+I14+(1/(1+Inputs!$B$31))*(M14*(F14+J14)+(1-M14)*N15)</f>
        <v/>
      </c>
      <c r="O14" s="9">
        <f>IF(A14=0,0,MAX(0,N14))</f>
        <v/>
      </c>
      <c r="P14" s="9">
        <f>(O14+G14-H14-I14)*(1+Inputs!$B$32)-C14*(F14+J14)-(1-C14)*(1-D14)*O15</f>
        <v/>
      </c>
      <c r="Q14" s="9">
        <f>E14*P14</f>
        <v/>
      </c>
      <c r="R14" s="10">
        <f>(1+Inputs!$B$33)^-(A14+1)</f>
        <v/>
      </c>
      <c r="S14" s="9">
        <f>Q14*R14</f>
        <v/>
      </c>
      <c r="T14" s="9">
        <f>SUM(S$8:S14)</f>
        <v/>
      </c>
      <c r="U14" s="9">
        <f>IF(T14&gt;=0,A14+1,999)</f>
        <v/>
      </c>
      <c r="V14" s="9">
        <f>E14*G14*(1+Inputs!$B$33)^-A14</f>
        <v/>
      </c>
      <c r="W14" s="9">
        <f>-G14+H14+I14+K14*(MIN(1,C14*(1+Inputs!$B$36))*(F14+J14)+(1-MIN(1,C14*(1+Inputs!$B$36)))*(1-D14)*W15)</f>
        <v/>
      </c>
      <c r="X14" s="9">
        <f>-G14+H14+I14+K14*(C14*(F14+J14)+(1-C14)*(1-MIN(1,Inputs!$B$37*D14))*X15)</f>
        <v/>
      </c>
      <c r="Y14" s="9">
        <f>-G14+H14+(IF(A14=0,Inputs!$B$24,0)+(Inputs!$B$25+Inputs!$B$26)*(1+Inputs!$B$28+Inputs!$B$40)^A14)*(1+Inputs!$B$39)+K14*(C14*(F14+Inputs!$B$27*(1+Inputs!$B$39)*(1+Inputs!$B$28+Inputs!$B$40)^A14)+(1-C14)*(1-D14)*Y15)</f>
        <v/>
      </c>
    </row>
    <row r="15">
      <c r="A15" s="9" t="n">
        <v>7</v>
      </c>
      <c r="B15" s="9">
        <f>Inputs!$B$4+A15</f>
        <v/>
      </c>
      <c r="C15" s="10">
        <f>MIN(1,Inputs!$B$11*Inputs!$B$12*Inputs!$B$14^(B15-Inputs!$B$13)*IF(Inputs!$B$5=1,Inputs!$B$15,1)*IF(Inputs!$B$6=1,Inputs!$B$16,1))</f>
        <v/>
      </c>
      <c r="D15" s="10">
        <f>IF(A15=Inputs!$B$35-1,0,MIN(1,Inputs!$B$23*IF(A15&lt;5,INDEX(Inputs!$B$17:$B$21,A15+1),Inputs!$B$22)))</f>
        <v/>
      </c>
      <c r="E15" s="10">
        <f>E14*(1-C14)*(1-D14)</f>
        <v/>
      </c>
      <c r="F15" s="9">
        <f>IF(Inputs!$B$3="MP",Inputs!$B$7*(1-(1/(1+Inputs!$B$8))^(Inputs!$B$35-A15))/(1-(1/(1+Inputs!$B$8))^Inputs!$B$35),Inputs!$B$7)</f>
        <v/>
      </c>
      <c r="G15" s="9">
        <f>$C$2</f>
        <v/>
      </c>
      <c r="H15" s="9">
        <f>IF(A15=0,Inputs!$B$29*G15,0)</f>
        <v/>
      </c>
      <c r="I15" s="9">
        <f>IF(A15=0,Inputs!$B$24,0)+(Inputs!$B$25+Inputs!$B$26)*(1+Inputs!$B$28)^A15</f>
        <v/>
      </c>
      <c r="J15" s="9">
        <f>Inputs!$B$27*(1+Inputs!$B$28)^A15</f>
        <v/>
      </c>
      <c r="K15" s="10">
        <f>1/(1+Inputs!$B$34)</f>
        <v/>
      </c>
      <c r="L15" s="9">
        <f>-G15+H15+I15+K15*(C15*(F15+J15)+(1-C15)*(1-D15)*L16)</f>
        <v/>
      </c>
      <c r="M15" s="10">
        <f>MIN(1,C15*Inputs!$B$30)</f>
        <v/>
      </c>
      <c r="N15" s="9">
        <f>-G15+H15+I15+(1/(1+Inputs!$B$31))*(M15*(F15+J15)+(1-M15)*N16)</f>
        <v/>
      </c>
      <c r="O15" s="9">
        <f>IF(A15=0,0,MAX(0,N15))</f>
        <v/>
      </c>
      <c r="P15" s="9">
        <f>(O15+G15-H15-I15)*(1+Inputs!$B$32)-C15*(F15+J15)-(1-C15)*(1-D15)*O16</f>
        <v/>
      </c>
      <c r="Q15" s="9">
        <f>E15*P15</f>
        <v/>
      </c>
      <c r="R15" s="10">
        <f>(1+Inputs!$B$33)^-(A15+1)</f>
        <v/>
      </c>
      <c r="S15" s="9">
        <f>Q15*R15</f>
        <v/>
      </c>
      <c r="T15" s="9">
        <f>SUM(S$8:S15)</f>
        <v/>
      </c>
      <c r="U15" s="9">
        <f>IF(T15&gt;=0,A15+1,999)</f>
        <v/>
      </c>
      <c r="V15" s="9">
        <f>E15*G15*(1+Inputs!$B$33)^-A15</f>
        <v/>
      </c>
      <c r="W15" s="9">
        <f>-G15+H15+I15+K15*(MIN(1,C15*(1+Inputs!$B$36))*(F15+J15)+(1-MIN(1,C15*(1+Inputs!$B$36)))*(1-D15)*W16)</f>
        <v/>
      </c>
      <c r="X15" s="9">
        <f>-G15+H15+I15+K15*(C15*(F15+J15)+(1-C15)*(1-MIN(1,Inputs!$B$37*D15))*X16)</f>
        <v/>
      </c>
      <c r="Y15" s="9">
        <f>-G15+H15+(IF(A15=0,Inputs!$B$24,0)+(Inputs!$B$25+Inputs!$B$26)*(1+Inputs!$B$28+Inputs!$B$40)^A15)*(1+Inputs!$B$39)+K15*(C15*(F15+Inputs!$B$27*(1+Inputs!$B$39)*(1+Inputs!$B$28+Inputs!$B$40)^A15)+(1-C15)*(1-D15)*Y16)</f>
        <v/>
      </c>
    </row>
    <row r="16">
      <c r="A16" s="9" t="n">
        <v>8</v>
      </c>
      <c r="B16" s="9">
        <f>Inputs!$B$4+A16</f>
        <v/>
      </c>
      <c r="C16" s="10">
        <f>MIN(1,Inputs!$B$11*Inputs!$B$12*Inputs!$B$14^(B16-Inputs!$B$13)*IF(Inputs!$B$5=1,Inputs!$B$15,1)*IF(Inputs!$B$6=1,Inputs!$B$16,1))</f>
        <v/>
      </c>
      <c r="D16" s="10">
        <f>IF(A16=Inputs!$B$35-1,0,MIN(1,Inputs!$B$23*IF(A16&lt;5,INDEX(Inputs!$B$17:$B$21,A16+1),Inputs!$B$22)))</f>
        <v/>
      </c>
      <c r="E16" s="10">
        <f>E15*(1-C15)*(1-D15)</f>
        <v/>
      </c>
      <c r="F16" s="9">
        <f>IF(Inputs!$B$3="MP",Inputs!$B$7*(1-(1/(1+Inputs!$B$8))^(Inputs!$B$35-A16))/(1-(1/(1+Inputs!$B$8))^Inputs!$B$35),Inputs!$B$7)</f>
        <v/>
      </c>
      <c r="G16" s="9">
        <f>$C$2</f>
        <v/>
      </c>
      <c r="H16" s="9">
        <f>IF(A16=0,Inputs!$B$29*G16,0)</f>
        <v/>
      </c>
      <c r="I16" s="9">
        <f>IF(A16=0,Inputs!$B$24,0)+(Inputs!$B$25+Inputs!$B$26)*(1+Inputs!$B$28)^A16</f>
        <v/>
      </c>
      <c r="J16" s="9">
        <f>Inputs!$B$27*(1+Inputs!$B$28)^A16</f>
        <v/>
      </c>
      <c r="K16" s="10">
        <f>1/(1+Inputs!$B$34)</f>
        <v/>
      </c>
      <c r="L16" s="9">
        <f>-G16+H16+I16+K16*(C16*(F16+J16)+(1-C16)*(1-D16)*L17)</f>
        <v/>
      </c>
      <c r="M16" s="10">
        <f>MIN(1,C16*Inputs!$B$30)</f>
        <v/>
      </c>
      <c r="N16" s="9">
        <f>-G16+H16+I16+(1/(1+Inputs!$B$31))*(M16*(F16+J16)+(1-M16)*N17)</f>
        <v/>
      </c>
      <c r="O16" s="9">
        <f>IF(A16=0,0,MAX(0,N16))</f>
        <v/>
      </c>
      <c r="P16" s="9">
        <f>(O16+G16-H16-I16)*(1+Inputs!$B$32)-C16*(F16+J16)-(1-C16)*(1-D16)*O17</f>
        <v/>
      </c>
      <c r="Q16" s="9">
        <f>E16*P16</f>
        <v/>
      </c>
      <c r="R16" s="10">
        <f>(1+Inputs!$B$33)^-(A16+1)</f>
        <v/>
      </c>
      <c r="S16" s="9">
        <f>Q16*R16</f>
        <v/>
      </c>
      <c r="T16" s="9">
        <f>SUM(S$8:S16)</f>
        <v/>
      </c>
      <c r="U16" s="9">
        <f>IF(T16&gt;=0,A16+1,999)</f>
        <v/>
      </c>
      <c r="V16" s="9">
        <f>E16*G16*(1+Inputs!$B$33)^-A16</f>
        <v/>
      </c>
      <c r="W16" s="9">
        <f>-G16+H16+I16+K16*(MIN(1,C16*(1+Inputs!$B$36))*(F16+J16)+(1-MIN(1,C16*(1+Inputs!$B$36)))*(1-D16)*W17)</f>
        <v/>
      </c>
      <c r="X16" s="9">
        <f>-G16+H16+I16+K16*(C16*(F16+J16)+(1-C16)*(1-MIN(1,Inputs!$B$37*D16))*X17)</f>
        <v/>
      </c>
      <c r="Y16" s="9">
        <f>-G16+H16+(IF(A16=0,Inputs!$B$24,0)+(Inputs!$B$25+Inputs!$B$26)*(1+Inputs!$B$28+Inputs!$B$40)^A16)*(1+Inputs!$B$39)+K16*(C16*(F16+Inputs!$B$27*(1+Inputs!$B$39)*(1+Inputs!$B$28+Inputs!$B$40)^A16)+(1-C16)*(1-D16)*Y17)</f>
        <v/>
      </c>
    </row>
    <row r="17">
      <c r="A17" s="9" t="n">
        <v>9</v>
      </c>
      <c r="B17" s="9">
        <f>Inputs!$B$4+A17</f>
        <v/>
      </c>
      <c r="C17" s="10">
        <f>MIN(1,Inputs!$B$11*Inputs!$B$12*Inputs!$B$14^(B17-Inputs!$B$13)*IF(Inputs!$B$5=1,Inputs!$B$15,1)*IF(Inputs!$B$6=1,Inputs!$B$16,1))</f>
        <v/>
      </c>
      <c r="D17" s="10">
        <f>IF(A17=Inputs!$B$35-1,0,MIN(1,Inputs!$B$23*IF(A17&lt;5,INDEX(Inputs!$B$17:$B$21,A17+1),Inputs!$B$22)))</f>
        <v/>
      </c>
      <c r="E17" s="10">
        <f>E16*(1-C16)*(1-D16)</f>
        <v/>
      </c>
      <c r="F17" s="9">
        <f>IF(Inputs!$B$3="MP",Inputs!$B$7*(1-(1/(1+Inputs!$B$8))^(Inputs!$B$35-A17))/(1-(1/(1+Inputs!$B$8))^Inputs!$B$35),Inputs!$B$7)</f>
        <v/>
      </c>
      <c r="G17" s="9">
        <f>$C$2</f>
        <v/>
      </c>
      <c r="H17" s="9">
        <f>IF(A17=0,Inputs!$B$29*G17,0)</f>
        <v/>
      </c>
      <c r="I17" s="9">
        <f>IF(A17=0,Inputs!$B$24,0)+(Inputs!$B$25+Inputs!$B$26)*(1+Inputs!$B$28)^A17</f>
        <v/>
      </c>
      <c r="J17" s="9">
        <f>Inputs!$B$27*(1+Inputs!$B$28)^A17</f>
        <v/>
      </c>
      <c r="K17" s="10">
        <f>1/(1+Inputs!$B$34)</f>
        <v/>
      </c>
      <c r="L17" s="9">
        <f>-G17+H17+I17+K17*(C17*(F17+J17)+(1-C17)*(1-D17)*L18)</f>
        <v/>
      </c>
      <c r="M17" s="10">
        <f>MIN(1,C17*Inputs!$B$30)</f>
        <v/>
      </c>
      <c r="N17" s="9">
        <f>-G17+H17+I17+(1/(1+Inputs!$B$31))*(M17*(F17+J17)+(1-M17)*N18)</f>
        <v/>
      </c>
      <c r="O17" s="9">
        <f>IF(A17=0,0,MAX(0,N17))</f>
        <v/>
      </c>
      <c r="P17" s="9">
        <f>(O17+G17-H17-I17)*(1+Inputs!$B$32)-C17*(F17+J17)-(1-C17)*(1-D17)*O18</f>
        <v/>
      </c>
      <c r="Q17" s="9">
        <f>E17*P17</f>
        <v/>
      </c>
      <c r="R17" s="10">
        <f>(1+Inputs!$B$33)^-(A17+1)</f>
        <v/>
      </c>
      <c r="S17" s="9">
        <f>Q17*R17</f>
        <v/>
      </c>
      <c r="T17" s="9">
        <f>SUM(S$8:S17)</f>
        <v/>
      </c>
      <c r="U17" s="9">
        <f>IF(T17&gt;=0,A17+1,999)</f>
        <v/>
      </c>
      <c r="V17" s="9">
        <f>E17*G17*(1+Inputs!$B$33)^-A17</f>
        <v/>
      </c>
      <c r="W17" s="9">
        <f>-G17+H17+I17+K17*(MIN(1,C17*(1+Inputs!$B$36))*(F17+J17)+(1-MIN(1,C17*(1+Inputs!$B$36)))*(1-D17)*W18)</f>
        <v/>
      </c>
      <c r="X17" s="9">
        <f>-G17+H17+I17+K17*(C17*(F17+J17)+(1-C17)*(1-MIN(1,Inputs!$B$37*D17))*X18)</f>
        <v/>
      </c>
      <c r="Y17" s="9">
        <f>-G17+H17+(IF(A17=0,Inputs!$B$24,0)+(Inputs!$B$25+Inputs!$B$26)*(1+Inputs!$B$28+Inputs!$B$40)^A17)*(1+Inputs!$B$39)+K17*(C17*(F17+Inputs!$B$27*(1+Inputs!$B$39)*(1+Inputs!$B$28+Inputs!$B$40)^A17)+(1-C17)*(1-D17)*Y18)</f>
        <v/>
      </c>
    </row>
    <row r="18">
      <c r="A18" s="9" t="n">
        <v>10</v>
      </c>
      <c r="B18" s="9">
        <f>Inputs!$B$4+A18</f>
        <v/>
      </c>
      <c r="C18" s="10">
        <f>MIN(1,Inputs!$B$11*Inputs!$B$12*Inputs!$B$14^(B18-Inputs!$B$13)*IF(Inputs!$B$5=1,Inputs!$B$15,1)*IF(Inputs!$B$6=1,Inputs!$B$16,1))</f>
        <v/>
      </c>
      <c r="D18" s="10">
        <f>IF(A18=Inputs!$B$35-1,0,MIN(1,Inputs!$B$23*IF(A18&lt;5,INDEX(Inputs!$B$17:$B$21,A18+1),Inputs!$B$22)))</f>
        <v/>
      </c>
      <c r="E18" s="10">
        <f>E17*(1-C17)*(1-D17)</f>
        <v/>
      </c>
      <c r="F18" s="9">
        <f>IF(Inputs!$B$3="MP",Inputs!$B$7*(1-(1/(1+Inputs!$B$8))^(Inputs!$B$35-A18))/(1-(1/(1+Inputs!$B$8))^Inputs!$B$35),Inputs!$B$7)</f>
        <v/>
      </c>
      <c r="G18" s="9">
        <f>$C$2</f>
        <v/>
      </c>
      <c r="H18" s="9">
        <f>IF(A18=0,Inputs!$B$29*G18,0)</f>
        <v/>
      </c>
      <c r="I18" s="9">
        <f>IF(A18=0,Inputs!$B$24,0)+(Inputs!$B$25+Inputs!$B$26)*(1+Inputs!$B$28)^A18</f>
        <v/>
      </c>
      <c r="J18" s="9">
        <f>Inputs!$B$27*(1+Inputs!$B$28)^A18</f>
        <v/>
      </c>
      <c r="K18" s="10">
        <f>1/(1+Inputs!$B$34)</f>
        <v/>
      </c>
      <c r="L18" s="9">
        <f>-G18+H18+I18+K18*(C18*(F18+J18)+(1-C18)*(1-D18)*L19)</f>
        <v/>
      </c>
      <c r="M18" s="10">
        <f>MIN(1,C18*Inputs!$B$30)</f>
        <v/>
      </c>
      <c r="N18" s="9">
        <f>-G18+H18+I18+(1/(1+Inputs!$B$31))*(M18*(F18+J18)+(1-M18)*N19)</f>
        <v/>
      </c>
      <c r="O18" s="9">
        <f>IF(A18=0,0,MAX(0,N18))</f>
        <v/>
      </c>
      <c r="P18" s="9">
        <f>(O18+G18-H18-I18)*(1+Inputs!$B$32)-C18*(F18+J18)-(1-C18)*(1-D18)*O19</f>
        <v/>
      </c>
      <c r="Q18" s="9">
        <f>E18*P18</f>
        <v/>
      </c>
      <c r="R18" s="10">
        <f>(1+Inputs!$B$33)^-(A18+1)</f>
        <v/>
      </c>
      <c r="S18" s="9">
        <f>Q18*R18</f>
        <v/>
      </c>
      <c r="T18" s="9">
        <f>SUM(S$8:S18)</f>
        <v/>
      </c>
      <c r="U18" s="9">
        <f>IF(T18&gt;=0,A18+1,999)</f>
        <v/>
      </c>
      <c r="V18" s="9">
        <f>E18*G18*(1+Inputs!$B$33)^-A18</f>
        <v/>
      </c>
      <c r="W18" s="9">
        <f>-G18+H18+I18+K18*(MIN(1,C18*(1+Inputs!$B$36))*(F18+J18)+(1-MIN(1,C18*(1+Inputs!$B$36)))*(1-D18)*W19)</f>
        <v/>
      </c>
      <c r="X18" s="9">
        <f>-G18+H18+I18+K18*(C18*(F18+J18)+(1-C18)*(1-MIN(1,Inputs!$B$37*D18))*X19)</f>
        <v/>
      </c>
      <c r="Y18" s="9">
        <f>-G18+H18+(IF(A18=0,Inputs!$B$24,0)+(Inputs!$B$25+Inputs!$B$26)*(1+Inputs!$B$28+Inputs!$B$40)^A18)*(1+Inputs!$B$39)+K18*(C18*(F18+Inputs!$B$27*(1+Inputs!$B$39)*(1+Inputs!$B$28+Inputs!$B$40)^A18)+(1-C18)*(1-D18)*Y19)</f>
        <v/>
      </c>
    </row>
    <row r="19">
      <c r="A19" s="9" t="n">
        <v>11</v>
      </c>
      <c r="B19" s="9">
        <f>Inputs!$B$4+A19</f>
        <v/>
      </c>
      <c r="C19" s="10">
        <f>MIN(1,Inputs!$B$11*Inputs!$B$12*Inputs!$B$14^(B19-Inputs!$B$13)*IF(Inputs!$B$5=1,Inputs!$B$15,1)*IF(Inputs!$B$6=1,Inputs!$B$16,1))</f>
        <v/>
      </c>
      <c r="D19" s="10">
        <f>IF(A19=Inputs!$B$35-1,0,MIN(1,Inputs!$B$23*IF(A19&lt;5,INDEX(Inputs!$B$17:$B$21,A19+1),Inputs!$B$22)))</f>
        <v/>
      </c>
      <c r="E19" s="10">
        <f>E18*(1-C18)*(1-D18)</f>
        <v/>
      </c>
      <c r="F19" s="9">
        <f>IF(Inputs!$B$3="MP",Inputs!$B$7*(1-(1/(1+Inputs!$B$8))^(Inputs!$B$35-A19))/(1-(1/(1+Inputs!$B$8))^Inputs!$B$35),Inputs!$B$7)</f>
        <v/>
      </c>
      <c r="G19" s="9">
        <f>$C$2</f>
        <v/>
      </c>
      <c r="H19" s="9">
        <f>IF(A19=0,Inputs!$B$29*G19,0)</f>
        <v/>
      </c>
      <c r="I19" s="9">
        <f>IF(A19=0,Inputs!$B$24,0)+(Inputs!$B$25+Inputs!$B$26)*(1+Inputs!$B$28)^A19</f>
        <v/>
      </c>
      <c r="J19" s="9">
        <f>Inputs!$B$27*(1+Inputs!$B$28)^A19</f>
        <v/>
      </c>
      <c r="K19" s="10">
        <f>1/(1+Inputs!$B$34)</f>
        <v/>
      </c>
      <c r="L19" s="9">
        <f>-G19+H19+I19+K19*(C19*(F19+J19)+(1-C19)*(1-D19)*L20)</f>
        <v/>
      </c>
      <c r="M19" s="10">
        <f>MIN(1,C19*Inputs!$B$30)</f>
        <v/>
      </c>
      <c r="N19" s="9">
        <f>-G19+H19+I19+(1/(1+Inputs!$B$31))*(M19*(F19+J19)+(1-M19)*N20)</f>
        <v/>
      </c>
      <c r="O19" s="9">
        <f>IF(A19=0,0,MAX(0,N19))</f>
        <v/>
      </c>
      <c r="P19" s="9">
        <f>(O19+G19-H19-I19)*(1+Inputs!$B$32)-C19*(F19+J19)-(1-C19)*(1-D19)*O20</f>
        <v/>
      </c>
      <c r="Q19" s="9">
        <f>E19*P19</f>
        <v/>
      </c>
      <c r="R19" s="10">
        <f>(1+Inputs!$B$33)^-(A19+1)</f>
        <v/>
      </c>
      <c r="S19" s="9">
        <f>Q19*R19</f>
        <v/>
      </c>
      <c r="T19" s="9">
        <f>SUM(S$8:S19)</f>
        <v/>
      </c>
      <c r="U19" s="9">
        <f>IF(T19&gt;=0,A19+1,999)</f>
        <v/>
      </c>
      <c r="V19" s="9">
        <f>E19*G19*(1+Inputs!$B$33)^-A19</f>
        <v/>
      </c>
      <c r="W19" s="9">
        <f>-G19+H19+I19+K19*(MIN(1,C19*(1+Inputs!$B$36))*(F19+J19)+(1-MIN(1,C19*(1+Inputs!$B$36)))*(1-D19)*W20)</f>
        <v/>
      </c>
      <c r="X19" s="9">
        <f>-G19+H19+I19+K19*(C19*(F19+J19)+(1-C19)*(1-MIN(1,Inputs!$B$37*D19))*X20)</f>
        <v/>
      </c>
      <c r="Y19" s="9">
        <f>-G19+H19+(IF(A19=0,Inputs!$B$24,0)+(Inputs!$B$25+Inputs!$B$26)*(1+Inputs!$B$28+Inputs!$B$40)^A19)*(1+Inputs!$B$39)+K19*(C19*(F19+Inputs!$B$27*(1+Inputs!$B$39)*(1+Inputs!$B$28+Inputs!$B$40)^A19)+(1-C19)*(1-D19)*Y20)</f>
        <v/>
      </c>
    </row>
    <row r="20">
      <c r="A20" s="9" t="n">
        <v>12</v>
      </c>
      <c r="B20" s="9">
        <f>Inputs!$B$4+A20</f>
        <v/>
      </c>
      <c r="C20" s="10">
        <f>MIN(1,Inputs!$B$11*Inputs!$B$12*Inputs!$B$14^(B20-Inputs!$B$13)*IF(Inputs!$B$5=1,Inputs!$B$15,1)*IF(Inputs!$B$6=1,Inputs!$B$16,1))</f>
        <v/>
      </c>
      <c r="D20" s="10">
        <f>IF(A20=Inputs!$B$35-1,0,MIN(1,Inputs!$B$23*IF(A20&lt;5,INDEX(Inputs!$B$17:$B$21,A20+1),Inputs!$B$22)))</f>
        <v/>
      </c>
      <c r="E20" s="10">
        <f>E19*(1-C19)*(1-D19)</f>
        <v/>
      </c>
      <c r="F20" s="9">
        <f>IF(Inputs!$B$3="MP",Inputs!$B$7*(1-(1/(1+Inputs!$B$8))^(Inputs!$B$35-A20))/(1-(1/(1+Inputs!$B$8))^Inputs!$B$35),Inputs!$B$7)</f>
        <v/>
      </c>
      <c r="G20" s="9">
        <f>$C$2</f>
        <v/>
      </c>
      <c r="H20" s="9">
        <f>IF(A20=0,Inputs!$B$29*G20,0)</f>
        <v/>
      </c>
      <c r="I20" s="9">
        <f>IF(A20=0,Inputs!$B$24,0)+(Inputs!$B$25+Inputs!$B$26)*(1+Inputs!$B$28)^A20</f>
        <v/>
      </c>
      <c r="J20" s="9">
        <f>Inputs!$B$27*(1+Inputs!$B$28)^A20</f>
        <v/>
      </c>
      <c r="K20" s="10">
        <f>1/(1+Inputs!$B$34)</f>
        <v/>
      </c>
      <c r="L20" s="9">
        <f>-G20+H20+I20+K20*(C20*(F20+J20)+(1-C20)*(1-D20)*L21)</f>
        <v/>
      </c>
      <c r="M20" s="10">
        <f>MIN(1,C20*Inputs!$B$30)</f>
        <v/>
      </c>
      <c r="N20" s="9">
        <f>-G20+H20+I20+(1/(1+Inputs!$B$31))*(M20*(F20+J20)+(1-M20)*N21)</f>
        <v/>
      </c>
      <c r="O20" s="9">
        <f>IF(A20=0,0,MAX(0,N20))</f>
        <v/>
      </c>
      <c r="P20" s="9">
        <f>(O20+G20-H20-I20)*(1+Inputs!$B$32)-C20*(F20+J20)-(1-C20)*(1-D20)*O21</f>
        <v/>
      </c>
      <c r="Q20" s="9">
        <f>E20*P20</f>
        <v/>
      </c>
      <c r="R20" s="10">
        <f>(1+Inputs!$B$33)^-(A20+1)</f>
        <v/>
      </c>
      <c r="S20" s="9">
        <f>Q20*R20</f>
        <v/>
      </c>
      <c r="T20" s="9">
        <f>SUM(S$8:S20)</f>
        <v/>
      </c>
      <c r="U20" s="9">
        <f>IF(T20&gt;=0,A20+1,999)</f>
        <v/>
      </c>
      <c r="V20" s="9">
        <f>E20*G20*(1+Inputs!$B$33)^-A20</f>
        <v/>
      </c>
      <c r="W20" s="9">
        <f>-G20+H20+I20+K20*(MIN(1,C20*(1+Inputs!$B$36))*(F20+J20)+(1-MIN(1,C20*(1+Inputs!$B$36)))*(1-D20)*W21)</f>
        <v/>
      </c>
      <c r="X20" s="9">
        <f>-G20+H20+I20+K20*(C20*(F20+J20)+(1-C20)*(1-MIN(1,Inputs!$B$37*D20))*X21)</f>
        <v/>
      </c>
      <c r="Y20" s="9">
        <f>-G20+H20+(IF(A20=0,Inputs!$B$24,0)+(Inputs!$B$25+Inputs!$B$26)*(1+Inputs!$B$28+Inputs!$B$40)^A20)*(1+Inputs!$B$39)+K20*(C20*(F20+Inputs!$B$27*(1+Inputs!$B$39)*(1+Inputs!$B$28+Inputs!$B$40)^A20)+(1-C20)*(1-D20)*Y21)</f>
        <v/>
      </c>
    </row>
    <row r="21">
      <c r="A21" s="9" t="n">
        <v>13</v>
      </c>
      <c r="B21" s="9">
        <f>Inputs!$B$4+A21</f>
        <v/>
      </c>
      <c r="C21" s="10">
        <f>MIN(1,Inputs!$B$11*Inputs!$B$12*Inputs!$B$14^(B21-Inputs!$B$13)*IF(Inputs!$B$5=1,Inputs!$B$15,1)*IF(Inputs!$B$6=1,Inputs!$B$16,1))</f>
        <v/>
      </c>
      <c r="D21" s="10">
        <f>IF(A21=Inputs!$B$35-1,0,MIN(1,Inputs!$B$23*IF(A21&lt;5,INDEX(Inputs!$B$17:$B$21,A21+1),Inputs!$B$22)))</f>
        <v/>
      </c>
      <c r="E21" s="10">
        <f>E20*(1-C20)*(1-D20)</f>
        <v/>
      </c>
      <c r="F21" s="9">
        <f>IF(Inputs!$B$3="MP",Inputs!$B$7*(1-(1/(1+Inputs!$B$8))^(Inputs!$B$35-A21))/(1-(1/(1+Inputs!$B$8))^Inputs!$B$35),Inputs!$B$7)</f>
        <v/>
      </c>
      <c r="G21" s="9">
        <f>$C$2</f>
        <v/>
      </c>
      <c r="H21" s="9">
        <f>IF(A21=0,Inputs!$B$29*G21,0)</f>
        <v/>
      </c>
      <c r="I21" s="9">
        <f>IF(A21=0,Inputs!$B$24,0)+(Inputs!$B$25+Inputs!$B$26)*(1+Inputs!$B$28)^A21</f>
        <v/>
      </c>
      <c r="J21" s="9">
        <f>Inputs!$B$27*(1+Inputs!$B$28)^A21</f>
        <v/>
      </c>
      <c r="K21" s="10">
        <f>1/(1+Inputs!$B$34)</f>
        <v/>
      </c>
      <c r="L21" s="9">
        <f>-G21+H21+I21+K21*(C21*(F21+J21)+(1-C21)*(1-D21)*L22)</f>
        <v/>
      </c>
      <c r="M21" s="10">
        <f>MIN(1,C21*Inputs!$B$30)</f>
        <v/>
      </c>
      <c r="N21" s="9">
        <f>-G21+H21+I21+(1/(1+Inputs!$B$31))*(M21*(F21+J21)+(1-M21)*N22)</f>
        <v/>
      </c>
      <c r="O21" s="9">
        <f>IF(A21=0,0,MAX(0,N21))</f>
        <v/>
      </c>
      <c r="P21" s="9">
        <f>(O21+G21-H21-I21)*(1+Inputs!$B$32)-C21*(F21+J21)-(1-C21)*(1-D21)*O22</f>
        <v/>
      </c>
      <c r="Q21" s="9">
        <f>E21*P21</f>
        <v/>
      </c>
      <c r="R21" s="10">
        <f>(1+Inputs!$B$33)^-(A21+1)</f>
        <v/>
      </c>
      <c r="S21" s="9">
        <f>Q21*R21</f>
        <v/>
      </c>
      <c r="T21" s="9">
        <f>SUM(S$8:S21)</f>
        <v/>
      </c>
      <c r="U21" s="9">
        <f>IF(T21&gt;=0,A21+1,999)</f>
        <v/>
      </c>
      <c r="V21" s="9">
        <f>E21*G21*(1+Inputs!$B$33)^-A21</f>
        <v/>
      </c>
      <c r="W21" s="9">
        <f>-G21+H21+I21+K21*(MIN(1,C21*(1+Inputs!$B$36))*(F21+J21)+(1-MIN(1,C21*(1+Inputs!$B$36)))*(1-D21)*W22)</f>
        <v/>
      </c>
      <c r="X21" s="9">
        <f>-G21+H21+I21+K21*(C21*(F21+J21)+(1-C21)*(1-MIN(1,Inputs!$B$37*D21))*X22)</f>
        <v/>
      </c>
      <c r="Y21" s="9">
        <f>-G21+H21+(IF(A21=0,Inputs!$B$24,0)+(Inputs!$B$25+Inputs!$B$26)*(1+Inputs!$B$28+Inputs!$B$40)^A21)*(1+Inputs!$B$39)+K21*(C21*(F21+Inputs!$B$27*(1+Inputs!$B$39)*(1+Inputs!$B$28+Inputs!$B$40)^A21)+(1-C21)*(1-D21)*Y22)</f>
        <v/>
      </c>
    </row>
    <row r="22">
      <c r="A22" s="9" t="n">
        <v>14</v>
      </c>
      <c r="B22" s="9">
        <f>Inputs!$B$4+A22</f>
        <v/>
      </c>
      <c r="C22" s="10">
        <f>MIN(1,Inputs!$B$11*Inputs!$B$12*Inputs!$B$14^(B22-Inputs!$B$13)*IF(Inputs!$B$5=1,Inputs!$B$15,1)*IF(Inputs!$B$6=1,Inputs!$B$16,1))</f>
        <v/>
      </c>
      <c r="D22" s="10">
        <f>IF(A22=Inputs!$B$35-1,0,MIN(1,Inputs!$B$23*IF(A22&lt;5,INDEX(Inputs!$B$17:$B$21,A22+1),Inputs!$B$22)))</f>
        <v/>
      </c>
      <c r="E22" s="10">
        <f>E21*(1-C21)*(1-D21)</f>
        <v/>
      </c>
      <c r="F22" s="9">
        <f>IF(Inputs!$B$3="MP",Inputs!$B$7*(1-(1/(1+Inputs!$B$8))^(Inputs!$B$35-A22))/(1-(1/(1+Inputs!$B$8))^Inputs!$B$35),Inputs!$B$7)</f>
        <v/>
      </c>
      <c r="G22" s="9">
        <f>$C$2</f>
        <v/>
      </c>
      <c r="H22" s="9">
        <f>IF(A22=0,Inputs!$B$29*G22,0)</f>
        <v/>
      </c>
      <c r="I22" s="9">
        <f>IF(A22=0,Inputs!$B$24,0)+(Inputs!$B$25+Inputs!$B$26)*(1+Inputs!$B$28)^A22</f>
        <v/>
      </c>
      <c r="J22" s="9">
        <f>Inputs!$B$27*(1+Inputs!$B$28)^A22</f>
        <v/>
      </c>
      <c r="K22" s="10">
        <f>1/(1+Inputs!$B$34)</f>
        <v/>
      </c>
      <c r="L22" s="9">
        <f>-G22+H22+I22+K22*(C22*(F22+J22)+(1-C22)*(1-D22)*L23)</f>
        <v/>
      </c>
      <c r="M22" s="10">
        <f>MIN(1,C22*Inputs!$B$30)</f>
        <v/>
      </c>
      <c r="N22" s="9">
        <f>-G22+H22+I22+(1/(1+Inputs!$B$31))*(M22*(F22+J22)+(1-M22)*N23)</f>
        <v/>
      </c>
      <c r="O22" s="9">
        <f>IF(A22=0,0,MAX(0,N22))</f>
        <v/>
      </c>
      <c r="P22" s="9">
        <f>(O22+G22-H22-I22)*(1+Inputs!$B$32)-C22*(F22+J22)-(1-C22)*(1-D22)*O23</f>
        <v/>
      </c>
      <c r="Q22" s="9">
        <f>E22*P22</f>
        <v/>
      </c>
      <c r="R22" s="10">
        <f>(1+Inputs!$B$33)^-(A22+1)</f>
        <v/>
      </c>
      <c r="S22" s="9">
        <f>Q22*R22</f>
        <v/>
      </c>
      <c r="T22" s="9">
        <f>SUM(S$8:S22)</f>
        <v/>
      </c>
      <c r="U22" s="9">
        <f>IF(T22&gt;=0,A22+1,999)</f>
        <v/>
      </c>
      <c r="V22" s="9">
        <f>E22*G22*(1+Inputs!$B$33)^-A22</f>
        <v/>
      </c>
      <c r="W22" s="9">
        <f>-G22+H22+I22+K22*(MIN(1,C22*(1+Inputs!$B$36))*(F22+J22)+(1-MIN(1,C22*(1+Inputs!$B$36)))*(1-D22)*W23)</f>
        <v/>
      </c>
      <c r="X22" s="9">
        <f>-G22+H22+I22+K22*(C22*(F22+J22)+(1-C22)*(1-MIN(1,Inputs!$B$37*D22))*X23)</f>
        <v/>
      </c>
      <c r="Y22" s="9">
        <f>-G22+H22+(IF(A22=0,Inputs!$B$24,0)+(Inputs!$B$25+Inputs!$B$26)*(1+Inputs!$B$28+Inputs!$B$40)^A22)*(1+Inputs!$B$39)+K22*(C22*(F22+Inputs!$B$27*(1+Inputs!$B$39)*(1+Inputs!$B$28+Inputs!$B$40)^A22)+(1-C22)*(1-D22)*Y23)</f>
        <v/>
      </c>
    </row>
    <row r="23">
      <c r="A23" s="9" t="n">
        <v>15</v>
      </c>
      <c r="B23" s="9">
        <f>Inputs!$B$4+A23</f>
        <v/>
      </c>
      <c r="C23" s="10">
        <f>MIN(1,Inputs!$B$11*Inputs!$B$12*Inputs!$B$14^(B23-Inputs!$B$13)*IF(Inputs!$B$5=1,Inputs!$B$15,1)*IF(Inputs!$B$6=1,Inputs!$B$16,1))</f>
        <v/>
      </c>
      <c r="D23" s="10">
        <f>IF(A23=Inputs!$B$35-1,0,MIN(1,Inputs!$B$23*IF(A23&lt;5,INDEX(Inputs!$B$17:$B$21,A23+1),Inputs!$B$22)))</f>
        <v/>
      </c>
      <c r="E23" s="10">
        <f>E22*(1-C22)*(1-D22)</f>
        <v/>
      </c>
      <c r="F23" s="9">
        <f>IF(Inputs!$B$3="MP",Inputs!$B$7*(1-(1/(1+Inputs!$B$8))^(Inputs!$B$35-A23))/(1-(1/(1+Inputs!$B$8))^Inputs!$B$35),Inputs!$B$7)</f>
        <v/>
      </c>
      <c r="G23" s="9">
        <f>$C$2</f>
        <v/>
      </c>
      <c r="H23" s="9">
        <f>IF(A23=0,Inputs!$B$29*G23,0)</f>
        <v/>
      </c>
      <c r="I23" s="9">
        <f>IF(A23=0,Inputs!$B$24,0)+(Inputs!$B$25+Inputs!$B$26)*(1+Inputs!$B$28)^A23</f>
        <v/>
      </c>
      <c r="J23" s="9">
        <f>Inputs!$B$27*(1+Inputs!$B$28)^A23</f>
        <v/>
      </c>
      <c r="K23" s="10">
        <f>1/(1+Inputs!$B$34)</f>
        <v/>
      </c>
      <c r="L23" s="9">
        <f>-G23+H23+I23+K23*(C23*(F23+J23)+(1-C23)*(1-D23)*L24)</f>
        <v/>
      </c>
      <c r="M23" s="10">
        <f>MIN(1,C23*Inputs!$B$30)</f>
        <v/>
      </c>
      <c r="N23" s="9">
        <f>-G23+H23+I23+(1/(1+Inputs!$B$31))*(M23*(F23+J23)+(1-M23)*N24)</f>
        <v/>
      </c>
      <c r="O23" s="9">
        <f>IF(A23=0,0,MAX(0,N23))</f>
        <v/>
      </c>
      <c r="P23" s="9">
        <f>(O23+G23-H23-I23)*(1+Inputs!$B$32)-C23*(F23+J23)-(1-C23)*(1-D23)*O24</f>
        <v/>
      </c>
      <c r="Q23" s="9">
        <f>E23*P23</f>
        <v/>
      </c>
      <c r="R23" s="10">
        <f>(1+Inputs!$B$33)^-(A23+1)</f>
        <v/>
      </c>
      <c r="S23" s="9">
        <f>Q23*R23</f>
        <v/>
      </c>
      <c r="T23" s="9">
        <f>SUM(S$8:S23)</f>
        <v/>
      </c>
      <c r="U23" s="9">
        <f>IF(T23&gt;=0,A23+1,999)</f>
        <v/>
      </c>
      <c r="V23" s="9">
        <f>E23*G23*(1+Inputs!$B$33)^-A23</f>
        <v/>
      </c>
      <c r="W23" s="9">
        <f>-G23+H23+I23+K23*(MIN(1,C23*(1+Inputs!$B$36))*(F23+J23)+(1-MIN(1,C23*(1+Inputs!$B$36)))*(1-D23)*W24)</f>
        <v/>
      </c>
      <c r="X23" s="9">
        <f>-G23+H23+I23+K23*(C23*(F23+J23)+(1-C23)*(1-MIN(1,Inputs!$B$37*D23))*X24)</f>
        <v/>
      </c>
      <c r="Y23" s="9">
        <f>-G23+H23+(IF(A23=0,Inputs!$B$24,0)+(Inputs!$B$25+Inputs!$B$26)*(1+Inputs!$B$28+Inputs!$B$40)^A23)*(1+Inputs!$B$39)+K23*(C23*(F23+Inputs!$B$27*(1+Inputs!$B$39)*(1+Inputs!$B$28+Inputs!$B$40)^A23)+(1-C23)*(1-D23)*Y24)</f>
        <v/>
      </c>
    </row>
    <row r="24">
      <c r="A24" s="9" t="n">
        <v>16</v>
      </c>
      <c r="B24" s="9">
        <f>Inputs!$B$4+A24</f>
        <v/>
      </c>
      <c r="C24" s="10">
        <f>MIN(1,Inputs!$B$11*Inputs!$B$12*Inputs!$B$14^(B24-Inputs!$B$13)*IF(Inputs!$B$5=1,Inputs!$B$15,1)*IF(Inputs!$B$6=1,Inputs!$B$16,1))</f>
        <v/>
      </c>
      <c r="D24" s="10">
        <f>IF(A24=Inputs!$B$35-1,0,MIN(1,Inputs!$B$23*IF(A24&lt;5,INDEX(Inputs!$B$17:$B$21,A24+1),Inputs!$B$22)))</f>
        <v/>
      </c>
      <c r="E24" s="10">
        <f>E23*(1-C23)*(1-D23)</f>
        <v/>
      </c>
      <c r="F24" s="9">
        <f>IF(Inputs!$B$3="MP",Inputs!$B$7*(1-(1/(1+Inputs!$B$8))^(Inputs!$B$35-A24))/(1-(1/(1+Inputs!$B$8))^Inputs!$B$35),Inputs!$B$7)</f>
        <v/>
      </c>
      <c r="G24" s="9">
        <f>$C$2</f>
        <v/>
      </c>
      <c r="H24" s="9">
        <f>IF(A24=0,Inputs!$B$29*G24,0)</f>
        <v/>
      </c>
      <c r="I24" s="9">
        <f>IF(A24=0,Inputs!$B$24,0)+(Inputs!$B$25+Inputs!$B$26)*(1+Inputs!$B$28)^A24</f>
        <v/>
      </c>
      <c r="J24" s="9">
        <f>Inputs!$B$27*(1+Inputs!$B$28)^A24</f>
        <v/>
      </c>
      <c r="K24" s="10">
        <f>1/(1+Inputs!$B$34)</f>
        <v/>
      </c>
      <c r="L24" s="9">
        <f>-G24+H24+I24+K24*(C24*(F24+J24)+(1-C24)*(1-D24)*L25)</f>
        <v/>
      </c>
      <c r="M24" s="10">
        <f>MIN(1,C24*Inputs!$B$30)</f>
        <v/>
      </c>
      <c r="N24" s="9">
        <f>-G24+H24+I24+(1/(1+Inputs!$B$31))*(M24*(F24+J24)+(1-M24)*N25)</f>
        <v/>
      </c>
      <c r="O24" s="9">
        <f>IF(A24=0,0,MAX(0,N24))</f>
        <v/>
      </c>
      <c r="P24" s="9">
        <f>(O24+G24-H24-I24)*(1+Inputs!$B$32)-C24*(F24+J24)-(1-C24)*(1-D24)*O25</f>
        <v/>
      </c>
      <c r="Q24" s="9">
        <f>E24*P24</f>
        <v/>
      </c>
      <c r="R24" s="10">
        <f>(1+Inputs!$B$33)^-(A24+1)</f>
        <v/>
      </c>
      <c r="S24" s="9">
        <f>Q24*R24</f>
        <v/>
      </c>
      <c r="T24" s="9">
        <f>SUM(S$8:S24)</f>
        <v/>
      </c>
      <c r="U24" s="9">
        <f>IF(T24&gt;=0,A24+1,999)</f>
        <v/>
      </c>
      <c r="V24" s="9">
        <f>E24*G24*(1+Inputs!$B$33)^-A24</f>
        <v/>
      </c>
      <c r="W24" s="9">
        <f>-G24+H24+I24+K24*(MIN(1,C24*(1+Inputs!$B$36))*(F24+J24)+(1-MIN(1,C24*(1+Inputs!$B$36)))*(1-D24)*W25)</f>
        <v/>
      </c>
      <c r="X24" s="9">
        <f>-G24+H24+I24+K24*(C24*(F24+J24)+(1-C24)*(1-MIN(1,Inputs!$B$37*D24))*X25)</f>
        <v/>
      </c>
      <c r="Y24" s="9">
        <f>-G24+H24+(IF(A24=0,Inputs!$B$24,0)+(Inputs!$B$25+Inputs!$B$26)*(1+Inputs!$B$28+Inputs!$B$40)^A24)*(1+Inputs!$B$39)+K24*(C24*(F24+Inputs!$B$27*(1+Inputs!$B$39)*(1+Inputs!$B$28+Inputs!$B$40)^A24)+(1-C24)*(1-D24)*Y25)</f>
        <v/>
      </c>
    </row>
    <row r="25">
      <c r="A25" s="9" t="n">
        <v>17</v>
      </c>
      <c r="B25" s="9">
        <f>Inputs!$B$4+A25</f>
        <v/>
      </c>
      <c r="C25" s="10">
        <f>MIN(1,Inputs!$B$11*Inputs!$B$12*Inputs!$B$14^(B25-Inputs!$B$13)*IF(Inputs!$B$5=1,Inputs!$B$15,1)*IF(Inputs!$B$6=1,Inputs!$B$16,1))</f>
        <v/>
      </c>
      <c r="D25" s="10">
        <f>IF(A25=Inputs!$B$35-1,0,MIN(1,Inputs!$B$23*IF(A25&lt;5,INDEX(Inputs!$B$17:$B$21,A25+1),Inputs!$B$22)))</f>
        <v/>
      </c>
      <c r="E25" s="10">
        <f>E24*(1-C24)*(1-D24)</f>
        <v/>
      </c>
      <c r="F25" s="9">
        <f>IF(Inputs!$B$3="MP",Inputs!$B$7*(1-(1/(1+Inputs!$B$8))^(Inputs!$B$35-A25))/(1-(1/(1+Inputs!$B$8))^Inputs!$B$35),Inputs!$B$7)</f>
        <v/>
      </c>
      <c r="G25" s="9">
        <f>$C$2</f>
        <v/>
      </c>
      <c r="H25" s="9">
        <f>IF(A25=0,Inputs!$B$29*G25,0)</f>
        <v/>
      </c>
      <c r="I25" s="9">
        <f>IF(A25=0,Inputs!$B$24,0)+(Inputs!$B$25+Inputs!$B$26)*(1+Inputs!$B$28)^A25</f>
        <v/>
      </c>
      <c r="J25" s="9">
        <f>Inputs!$B$27*(1+Inputs!$B$28)^A25</f>
        <v/>
      </c>
      <c r="K25" s="10">
        <f>1/(1+Inputs!$B$34)</f>
        <v/>
      </c>
      <c r="L25" s="9">
        <f>-G25+H25+I25+K25*(C25*(F25+J25)+(1-C25)*(1-D25)*L26)</f>
        <v/>
      </c>
      <c r="M25" s="10">
        <f>MIN(1,C25*Inputs!$B$30)</f>
        <v/>
      </c>
      <c r="N25" s="9">
        <f>-G25+H25+I25+(1/(1+Inputs!$B$31))*(M25*(F25+J25)+(1-M25)*N26)</f>
        <v/>
      </c>
      <c r="O25" s="9">
        <f>IF(A25=0,0,MAX(0,N25))</f>
        <v/>
      </c>
      <c r="P25" s="9">
        <f>(O25+G25-H25-I25)*(1+Inputs!$B$32)-C25*(F25+J25)-(1-C25)*(1-D25)*O26</f>
        <v/>
      </c>
      <c r="Q25" s="9">
        <f>E25*P25</f>
        <v/>
      </c>
      <c r="R25" s="10">
        <f>(1+Inputs!$B$33)^-(A25+1)</f>
        <v/>
      </c>
      <c r="S25" s="9">
        <f>Q25*R25</f>
        <v/>
      </c>
      <c r="T25" s="9">
        <f>SUM(S$8:S25)</f>
        <v/>
      </c>
      <c r="U25" s="9">
        <f>IF(T25&gt;=0,A25+1,999)</f>
        <v/>
      </c>
      <c r="V25" s="9">
        <f>E25*G25*(1+Inputs!$B$33)^-A25</f>
        <v/>
      </c>
      <c r="W25" s="9">
        <f>-G25+H25+I25+K25*(MIN(1,C25*(1+Inputs!$B$36))*(F25+J25)+(1-MIN(1,C25*(1+Inputs!$B$36)))*(1-D25)*W26)</f>
        <v/>
      </c>
      <c r="X25" s="9">
        <f>-G25+H25+I25+K25*(C25*(F25+J25)+(1-C25)*(1-MIN(1,Inputs!$B$37*D25))*X26)</f>
        <v/>
      </c>
      <c r="Y25" s="9">
        <f>-G25+H25+(IF(A25=0,Inputs!$B$24,0)+(Inputs!$B$25+Inputs!$B$26)*(1+Inputs!$B$28+Inputs!$B$40)^A25)*(1+Inputs!$B$39)+K25*(C25*(F25+Inputs!$B$27*(1+Inputs!$B$39)*(1+Inputs!$B$28+Inputs!$B$40)^A25)+(1-C25)*(1-D25)*Y26)</f>
        <v/>
      </c>
    </row>
    <row r="26">
      <c r="A26" s="9" t="n">
        <v>18</v>
      </c>
      <c r="B26" s="9">
        <f>Inputs!$B$4+A26</f>
        <v/>
      </c>
      <c r="C26" s="10">
        <f>MIN(1,Inputs!$B$11*Inputs!$B$12*Inputs!$B$14^(B26-Inputs!$B$13)*IF(Inputs!$B$5=1,Inputs!$B$15,1)*IF(Inputs!$B$6=1,Inputs!$B$16,1))</f>
        <v/>
      </c>
      <c r="D26" s="10">
        <f>IF(A26=Inputs!$B$35-1,0,MIN(1,Inputs!$B$23*IF(A26&lt;5,INDEX(Inputs!$B$17:$B$21,A26+1),Inputs!$B$22)))</f>
        <v/>
      </c>
      <c r="E26" s="10">
        <f>E25*(1-C25)*(1-D25)</f>
        <v/>
      </c>
      <c r="F26" s="9">
        <f>IF(Inputs!$B$3="MP",Inputs!$B$7*(1-(1/(1+Inputs!$B$8))^(Inputs!$B$35-A26))/(1-(1/(1+Inputs!$B$8))^Inputs!$B$35),Inputs!$B$7)</f>
        <v/>
      </c>
      <c r="G26" s="9">
        <f>$C$2</f>
        <v/>
      </c>
      <c r="H26" s="9">
        <f>IF(A26=0,Inputs!$B$29*G26,0)</f>
        <v/>
      </c>
      <c r="I26" s="9">
        <f>IF(A26=0,Inputs!$B$24,0)+(Inputs!$B$25+Inputs!$B$26)*(1+Inputs!$B$28)^A26</f>
        <v/>
      </c>
      <c r="J26" s="9">
        <f>Inputs!$B$27*(1+Inputs!$B$28)^A26</f>
        <v/>
      </c>
      <c r="K26" s="10">
        <f>1/(1+Inputs!$B$34)</f>
        <v/>
      </c>
      <c r="L26" s="9">
        <f>-G26+H26+I26+K26*(C26*(F26+J26)+(1-C26)*(1-D26)*L27)</f>
        <v/>
      </c>
      <c r="M26" s="10">
        <f>MIN(1,C26*Inputs!$B$30)</f>
        <v/>
      </c>
      <c r="N26" s="9">
        <f>-G26+H26+I26+(1/(1+Inputs!$B$31))*(M26*(F26+J26)+(1-M26)*N27)</f>
        <v/>
      </c>
      <c r="O26" s="9">
        <f>IF(A26=0,0,MAX(0,N26))</f>
        <v/>
      </c>
      <c r="P26" s="9">
        <f>(O26+G26-H26-I26)*(1+Inputs!$B$32)-C26*(F26+J26)-(1-C26)*(1-D26)*O27</f>
        <v/>
      </c>
      <c r="Q26" s="9">
        <f>E26*P26</f>
        <v/>
      </c>
      <c r="R26" s="10">
        <f>(1+Inputs!$B$33)^-(A26+1)</f>
        <v/>
      </c>
      <c r="S26" s="9">
        <f>Q26*R26</f>
        <v/>
      </c>
      <c r="T26" s="9">
        <f>SUM(S$8:S26)</f>
        <v/>
      </c>
      <c r="U26" s="9">
        <f>IF(T26&gt;=0,A26+1,999)</f>
        <v/>
      </c>
      <c r="V26" s="9">
        <f>E26*G26*(1+Inputs!$B$33)^-A26</f>
        <v/>
      </c>
      <c r="W26" s="9">
        <f>-G26+H26+I26+K26*(MIN(1,C26*(1+Inputs!$B$36))*(F26+J26)+(1-MIN(1,C26*(1+Inputs!$B$36)))*(1-D26)*W27)</f>
        <v/>
      </c>
      <c r="X26" s="9">
        <f>-G26+H26+I26+K26*(C26*(F26+J26)+(1-C26)*(1-MIN(1,Inputs!$B$37*D26))*X27)</f>
        <v/>
      </c>
      <c r="Y26" s="9">
        <f>-G26+H26+(IF(A26=0,Inputs!$B$24,0)+(Inputs!$B$25+Inputs!$B$26)*(1+Inputs!$B$28+Inputs!$B$40)^A26)*(1+Inputs!$B$39)+K26*(C26*(F26+Inputs!$B$27*(1+Inputs!$B$39)*(1+Inputs!$B$28+Inputs!$B$40)^A26)+(1-C26)*(1-D26)*Y27)</f>
        <v/>
      </c>
    </row>
    <row r="27">
      <c r="A27" s="9" t="n">
        <v>19</v>
      </c>
      <c r="B27" s="9">
        <f>Inputs!$B$4+A27</f>
        <v/>
      </c>
      <c r="C27" s="10">
        <f>MIN(1,Inputs!$B$11*Inputs!$B$12*Inputs!$B$14^(B27-Inputs!$B$13)*IF(Inputs!$B$5=1,Inputs!$B$15,1)*IF(Inputs!$B$6=1,Inputs!$B$16,1))</f>
        <v/>
      </c>
      <c r="D27" s="10">
        <f>IF(A27=Inputs!$B$35-1,0,MIN(1,Inputs!$B$23*IF(A27&lt;5,INDEX(Inputs!$B$17:$B$21,A27+1),Inputs!$B$22)))</f>
        <v/>
      </c>
      <c r="E27" s="10">
        <f>E26*(1-C26)*(1-D26)</f>
        <v/>
      </c>
      <c r="F27" s="9">
        <f>IF(Inputs!$B$3="MP",Inputs!$B$7*(1-(1/(1+Inputs!$B$8))^(Inputs!$B$35-A27))/(1-(1/(1+Inputs!$B$8))^Inputs!$B$35),Inputs!$B$7)</f>
        <v/>
      </c>
      <c r="G27" s="9">
        <f>$C$2</f>
        <v/>
      </c>
      <c r="H27" s="9">
        <f>IF(A27=0,Inputs!$B$29*G27,0)</f>
        <v/>
      </c>
      <c r="I27" s="9">
        <f>IF(A27=0,Inputs!$B$24,0)+(Inputs!$B$25+Inputs!$B$26)*(1+Inputs!$B$28)^A27</f>
        <v/>
      </c>
      <c r="J27" s="9">
        <f>Inputs!$B$27*(1+Inputs!$B$28)^A27</f>
        <v/>
      </c>
      <c r="K27" s="10">
        <f>1/(1+Inputs!$B$34)</f>
        <v/>
      </c>
      <c r="L27" s="9">
        <f>-G27+H27+I27+K27*(C27*(F27+J27)+(1-C27)*(1-D27)*L28)</f>
        <v/>
      </c>
      <c r="M27" s="10">
        <f>MIN(1,C27*Inputs!$B$30)</f>
        <v/>
      </c>
      <c r="N27" s="9">
        <f>-G27+H27+I27+(1/(1+Inputs!$B$31))*(M27*(F27+J27)+(1-M27)*N28)</f>
        <v/>
      </c>
      <c r="O27" s="9">
        <f>IF(A27=0,0,MAX(0,N27))</f>
        <v/>
      </c>
      <c r="P27" s="9">
        <f>(O27+G27-H27-I27)*(1+Inputs!$B$32)-C27*(F27+J27)-(1-C27)*(1-D27)*O28</f>
        <v/>
      </c>
      <c r="Q27" s="9">
        <f>E27*P27</f>
        <v/>
      </c>
      <c r="R27" s="10">
        <f>(1+Inputs!$B$33)^-(A27+1)</f>
        <v/>
      </c>
      <c r="S27" s="9">
        <f>Q27*R27</f>
        <v/>
      </c>
      <c r="T27" s="9">
        <f>SUM(S$8:S27)</f>
        <v/>
      </c>
      <c r="U27" s="9">
        <f>IF(T27&gt;=0,A27+1,999)</f>
        <v/>
      </c>
      <c r="V27" s="9">
        <f>E27*G27*(1+Inputs!$B$33)^-A27</f>
        <v/>
      </c>
      <c r="W27" s="9">
        <f>-G27+H27+I27+K27*(MIN(1,C27*(1+Inputs!$B$36))*(F27+J27)+(1-MIN(1,C27*(1+Inputs!$B$36)))*(1-D27)*W28)</f>
        <v/>
      </c>
      <c r="X27" s="9">
        <f>-G27+H27+I27+K27*(C27*(F27+J27)+(1-C27)*(1-MIN(1,Inputs!$B$37*D27))*X28)</f>
        <v/>
      </c>
      <c r="Y27" s="9">
        <f>-G27+H27+(IF(A27=0,Inputs!$B$24,0)+(Inputs!$B$25+Inputs!$B$26)*(1+Inputs!$B$28+Inputs!$B$40)^A27)*(1+Inputs!$B$39)+K27*(C27*(F27+Inputs!$B$27*(1+Inputs!$B$39)*(1+Inputs!$B$28+Inputs!$B$40)^A27)+(1-C27)*(1-D27)*Y28)</f>
        <v/>
      </c>
    </row>
    <row r="28">
      <c r="A28" s="9" t="n">
        <v>20</v>
      </c>
      <c r="B28" s="9">
        <f>Inputs!$B$4+A28</f>
        <v/>
      </c>
      <c r="E28" s="10">
        <f>E27*(1-C27)*(1-D27)</f>
        <v/>
      </c>
      <c r="L28" s="9" t="n">
        <v>0</v>
      </c>
      <c r="N28" s="9" t="n">
        <v>0</v>
      </c>
      <c r="O28" s="9" t="n">
        <v>0</v>
      </c>
      <c r="W28" s="9" t="n">
        <v>0</v>
      </c>
      <c r="X28" s="9" t="n">
        <v>0</v>
      </c>
      <c r="Y28" s="9" t="n">
        <v>0</v>
      </c>
    </row>
    <row r="30">
      <c r="A30" s="5" t="inlineStr">
        <is>
          <t>Timing (SPEC §2.2): premium, commission and expenses at the start of each policy year; claims and claim expenses at the end; lapses at the end, after deaths. V is computed backwards from V_20 =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Reference — level term, male 35 non-smoker, €250k, 20 years (real basis: CMI 00 × X, unisex rate)</t>
        </is>
      </c>
    </row>
    <row r="2">
      <c r="B2" s="3" t="inlineStr">
        <is>
          <t>Premium (€ p.a.)</t>
        </is>
      </c>
      <c r="C2" s="2">
        <f>Inputs!$C$9*Inputs!$C$7/1000+Inputs!$C$10</f>
        <v/>
      </c>
      <c r="E2" s="3" t="inlineStr">
        <is>
          <t>IRR</t>
        </is>
      </c>
      <c r="F2" s="7">
        <f>IRR(Q8:Q27)</f>
        <v/>
      </c>
      <c r="H2" s="3" t="inlineStr">
        <is>
          <t>SII loss: mortality</t>
        </is>
      </c>
      <c r="I2" s="2">
        <f>MAX(0,W8-L8)</f>
        <v/>
      </c>
    </row>
    <row r="3">
      <c r="B3" s="3" t="inlineStr">
        <is>
          <t>NPV at RDR</t>
        </is>
      </c>
      <c r="C3" s="2">
        <f>SUM(S8:S27)</f>
        <v/>
      </c>
      <c r="E3" s="3" t="inlineStr">
        <is>
          <t>Discounted payback (years)</t>
        </is>
      </c>
      <c r="F3" s="2">
        <f>MIN(U8:U27)</f>
        <v/>
      </c>
      <c r="H3" s="3" t="inlineStr">
        <is>
          <t>SII loss: lapse up</t>
        </is>
      </c>
      <c r="I3" s="2">
        <f>IF(L8&lt;0,MAX(0,X8-L8),0)</f>
        <v/>
      </c>
    </row>
    <row r="4">
      <c r="B4" s="3" t="inlineStr">
        <is>
          <t>EPV of premiums at RDR</t>
        </is>
      </c>
      <c r="C4" s="2">
        <f>SUM(V8:V27)</f>
        <v/>
      </c>
      <c r="E4" s="3" t="inlineStr">
        <is>
          <t>V at issue</t>
        </is>
      </c>
      <c r="F4" s="2">
        <f>L8</f>
        <v/>
      </c>
      <c r="H4" s="3" t="inlineStr">
        <is>
          <t>SII loss: mass lapse</t>
        </is>
      </c>
      <c r="I4" s="2">
        <f>Inputs!$C$38*MAX(0,-L8)</f>
        <v/>
      </c>
    </row>
    <row r="5">
      <c r="B5" s="3" t="inlineStr">
        <is>
          <t>Profit margin</t>
        </is>
      </c>
      <c r="C5" s="7">
        <f>C3/C4</f>
        <v/>
      </c>
      <c r="H5" s="3" t="inlineStr">
        <is>
          <t>SII loss: expense</t>
        </is>
      </c>
      <c r="I5" s="2">
        <f>MAX(0,Y8-L8)</f>
        <v/>
      </c>
    </row>
    <row r="6">
      <c r="H6" s="3" t="inlineStr">
        <is>
          <t>SII loss: catastrophe</t>
        </is>
      </c>
      <c r="I6" s="2">
        <f>MAX(0,K8*Inputs!$C$41*((F8+J8)-(1-D8)*L9))</f>
        <v/>
      </c>
    </row>
    <row r="7" ht="42" customHeight="1">
      <c r="A7" s="8" t="inlineStr">
        <is>
          <t>t</t>
        </is>
      </c>
      <c r="B7" s="8" t="inlineStr">
        <is>
          <t>Attained age</t>
        </is>
      </c>
      <c r="C7" s="8" t="inlineStr">
        <is>
          <t>q_t</t>
        </is>
      </c>
      <c r="D7" s="8" t="inlineStr">
        <is>
          <t>w_t</t>
        </is>
      </c>
      <c r="E7" s="8" t="inlineStr">
        <is>
          <t>ℓ_t (start of year)</t>
        </is>
      </c>
      <c r="F7" s="8" t="inlineStr">
        <is>
          <t>S_t</t>
        </is>
      </c>
      <c r="G7" s="8" t="inlineStr">
        <is>
          <t>Premium</t>
        </is>
      </c>
      <c r="H7" s="8" t="inlineStr">
        <is>
          <t>Commission</t>
        </is>
      </c>
      <c r="I7" s="8" t="inlineStr">
        <is>
          <t>Expenses (start)</t>
        </is>
      </c>
      <c r="J7" s="8" t="inlineStr">
        <is>
          <t>Claim expense</t>
        </is>
      </c>
      <c r="K7" s="8" t="inlineStr">
        <is>
          <t>v_t</t>
        </is>
      </c>
      <c r="L7" s="8" t="inlineStr">
        <is>
          <t>V_t best estimate</t>
        </is>
      </c>
      <c r="M7" s="8" t="inlineStr">
        <is>
          <t>q reserving</t>
        </is>
      </c>
      <c r="N7" s="8" t="inlineStr">
        <is>
          <t>V reserving</t>
        </is>
      </c>
      <c r="O7" s="8" t="inlineStr">
        <is>
          <t>Reserve _tV</t>
        </is>
      </c>
      <c r="P7" s="8" t="inlineStr">
        <is>
          <t>Profit vector Pr_t</t>
        </is>
      </c>
      <c r="Q7" s="8" t="inlineStr">
        <is>
          <t>Profit signature Π_t</t>
        </is>
      </c>
      <c r="R7" s="8" t="inlineStr">
        <is>
          <t>RDR discount</t>
        </is>
      </c>
      <c r="S7" s="8" t="inlineStr">
        <is>
          <t>PV of Π_t</t>
        </is>
      </c>
      <c r="T7" s="8" t="inlineStr">
        <is>
          <t>Cumulative PV</t>
        </is>
      </c>
      <c r="U7" s="8" t="inlineStr">
        <is>
          <t>Payback helper</t>
        </is>
      </c>
      <c r="V7" s="8" t="inlineStr">
        <is>
          <t>PV premium term</t>
        </is>
      </c>
      <c r="W7" s="8" t="inlineStr">
        <is>
          <t>V mortality +15%</t>
        </is>
      </c>
      <c r="X7" s="8" t="inlineStr">
        <is>
          <t>V lapse up ×1.5</t>
        </is>
      </c>
      <c r="Y7" s="8" t="inlineStr">
        <is>
          <t>V expense +10%, infl +1pp</t>
        </is>
      </c>
    </row>
    <row r="8">
      <c r="A8" s="9" t="n">
        <v>0</v>
      </c>
      <c r="B8" s="9">
        <f>Inputs!$C$4+A8</f>
        <v/>
      </c>
      <c r="C8" s="10">
        <f>MIN(1,Inputs!$C$11*INDEX(CMI_TMN00!$B$3:$G$106,MATCH(B8,CMI_TMN00!$A$3:$A$106,0),MIN(A8,5)+1))</f>
        <v/>
      </c>
      <c r="D8" s="10">
        <f>IF(A8=Inputs!$C$35-1,0,MIN(1,Inputs!$C$23*IF(A8&lt;5,INDEX(Inputs!$C$17:$C$21,A8+1),Inputs!$C$22)))</f>
        <v/>
      </c>
      <c r="E8" s="10" t="n">
        <v>1</v>
      </c>
      <c r="F8" s="9">
        <f>IF(Inputs!$C$3="MP",Inputs!$C$7*(1-(1/(1+Inputs!$C$8))^(Inputs!$C$35-A8))/(1-(1/(1+Inputs!$C$8))^Inputs!$C$35),Inputs!$C$7)</f>
        <v/>
      </c>
      <c r="G8" s="9">
        <f>$C$2</f>
        <v/>
      </c>
      <c r="H8" s="9">
        <f>IF(A8=0,Inputs!$C$29*G8,0)</f>
        <v/>
      </c>
      <c r="I8" s="9">
        <f>IF(A8=0,Inputs!$C$24,0)+(Inputs!$C$25+Inputs!$C$26)*(1+Inputs!$C$28)^A8</f>
        <v/>
      </c>
      <c r="J8" s="9">
        <f>Inputs!$C$27*(1+Inputs!$C$28)^A8</f>
        <v/>
      </c>
      <c r="K8" s="10">
        <f>1/(1+Inputs!$C$34)</f>
        <v/>
      </c>
      <c r="L8" s="9">
        <f>-G8+H8+I8+K8*(C8*(F8+J8)+(1-C8)*(1-D8)*L9)</f>
        <v/>
      </c>
      <c r="M8" s="10">
        <f>MIN(1,C8*Inputs!$C$30)</f>
        <v/>
      </c>
      <c r="N8" s="9">
        <f>-G8+H8+I8+(1/(1+Inputs!$C$31))*(M8*(F8+J8)+(1-M8)*N9)</f>
        <v/>
      </c>
      <c r="O8" s="9">
        <f>IF(A8=0,0,MAX(0,N8))</f>
        <v/>
      </c>
      <c r="P8" s="9">
        <f>(O8+G8-H8-I8)*(1+Inputs!$C$32)-C8*(F8+J8)-(1-C8)*(1-D8)*O9</f>
        <v/>
      </c>
      <c r="Q8" s="9">
        <f>E8*P8</f>
        <v/>
      </c>
      <c r="R8" s="10">
        <f>(1+Inputs!$C$33)^-(A8+1)</f>
        <v/>
      </c>
      <c r="S8" s="9">
        <f>Q8*R8</f>
        <v/>
      </c>
      <c r="T8" s="9">
        <f>SUM(S$8:S8)</f>
        <v/>
      </c>
      <c r="U8" s="9">
        <f>IF(T8&gt;=0,A8+1,999)</f>
        <v/>
      </c>
      <c r="V8" s="9">
        <f>E8*G8*(1+Inputs!$C$33)^-A8</f>
        <v/>
      </c>
      <c r="W8" s="9">
        <f>-G8+H8+I8+K8*(MIN(1,C8*(1+Inputs!$C$36))*(F8+J8)+(1-MIN(1,C8*(1+Inputs!$C$36)))*(1-D8)*W9)</f>
        <v/>
      </c>
      <c r="X8" s="9">
        <f>-G8+H8+I8+K8*(C8*(F8+J8)+(1-C8)*(1-MIN(1,Inputs!$C$37*D8))*X9)</f>
        <v/>
      </c>
      <c r="Y8" s="9">
        <f>-G8+H8+(IF(A8=0,Inputs!$C$24,0)+(Inputs!$C$25+Inputs!$C$26)*(1+Inputs!$C$28+Inputs!$C$40)^A8)*(1+Inputs!$C$39)+K8*(C8*(F8+Inputs!$C$27*(1+Inputs!$C$39)*(1+Inputs!$C$28+Inputs!$C$40)^A8)+(1-C8)*(1-D8)*Y9)</f>
        <v/>
      </c>
    </row>
    <row r="9">
      <c r="A9" s="9" t="n">
        <v>1</v>
      </c>
      <c r="B9" s="9">
        <f>Inputs!$C$4+A9</f>
        <v/>
      </c>
      <c r="C9" s="10">
        <f>MIN(1,Inputs!$C$11*INDEX(CMI_TMN00!$B$3:$G$106,MATCH(B9,CMI_TMN00!$A$3:$A$106,0),MIN(A9,5)+1))</f>
        <v/>
      </c>
      <c r="D9" s="10">
        <f>IF(A9=Inputs!$C$35-1,0,MIN(1,Inputs!$C$23*IF(A9&lt;5,INDEX(Inputs!$C$17:$C$21,A9+1),Inputs!$C$22)))</f>
        <v/>
      </c>
      <c r="E9" s="10">
        <f>E8*(1-C8)*(1-D8)</f>
        <v/>
      </c>
      <c r="F9" s="9">
        <f>IF(Inputs!$C$3="MP",Inputs!$C$7*(1-(1/(1+Inputs!$C$8))^(Inputs!$C$35-A9))/(1-(1/(1+Inputs!$C$8))^Inputs!$C$35),Inputs!$C$7)</f>
        <v/>
      </c>
      <c r="G9" s="9">
        <f>$C$2</f>
        <v/>
      </c>
      <c r="H9" s="9">
        <f>IF(A9=0,Inputs!$C$29*G9,0)</f>
        <v/>
      </c>
      <c r="I9" s="9">
        <f>IF(A9=0,Inputs!$C$24,0)+(Inputs!$C$25+Inputs!$C$26)*(1+Inputs!$C$28)^A9</f>
        <v/>
      </c>
      <c r="J9" s="9">
        <f>Inputs!$C$27*(1+Inputs!$C$28)^A9</f>
        <v/>
      </c>
      <c r="K9" s="10">
        <f>1/(1+Inputs!$C$34)</f>
        <v/>
      </c>
      <c r="L9" s="9">
        <f>-G9+H9+I9+K9*(C9*(F9+J9)+(1-C9)*(1-D9)*L10)</f>
        <v/>
      </c>
      <c r="M9" s="10">
        <f>MIN(1,C9*Inputs!$C$30)</f>
        <v/>
      </c>
      <c r="N9" s="9">
        <f>-G9+H9+I9+(1/(1+Inputs!$C$31))*(M9*(F9+J9)+(1-M9)*N10)</f>
        <v/>
      </c>
      <c r="O9" s="9">
        <f>IF(A9=0,0,MAX(0,N9))</f>
        <v/>
      </c>
      <c r="P9" s="9">
        <f>(O9+G9-H9-I9)*(1+Inputs!$C$32)-C9*(F9+J9)-(1-C9)*(1-D9)*O10</f>
        <v/>
      </c>
      <c r="Q9" s="9">
        <f>E9*P9</f>
        <v/>
      </c>
      <c r="R9" s="10">
        <f>(1+Inputs!$C$33)^-(A9+1)</f>
        <v/>
      </c>
      <c r="S9" s="9">
        <f>Q9*R9</f>
        <v/>
      </c>
      <c r="T9" s="9">
        <f>SUM(S$8:S9)</f>
        <v/>
      </c>
      <c r="U9" s="9">
        <f>IF(T9&gt;=0,A9+1,999)</f>
        <v/>
      </c>
      <c r="V9" s="9">
        <f>E9*G9*(1+Inputs!$C$33)^-A9</f>
        <v/>
      </c>
      <c r="W9" s="9">
        <f>-G9+H9+I9+K9*(MIN(1,C9*(1+Inputs!$C$36))*(F9+J9)+(1-MIN(1,C9*(1+Inputs!$C$36)))*(1-D9)*W10)</f>
        <v/>
      </c>
      <c r="X9" s="9">
        <f>-G9+H9+I9+K9*(C9*(F9+J9)+(1-C9)*(1-MIN(1,Inputs!$C$37*D9))*X10)</f>
        <v/>
      </c>
      <c r="Y9" s="9">
        <f>-G9+H9+(IF(A9=0,Inputs!$C$24,0)+(Inputs!$C$25+Inputs!$C$26)*(1+Inputs!$C$28+Inputs!$C$40)^A9)*(1+Inputs!$C$39)+K9*(C9*(F9+Inputs!$C$27*(1+Inputs!$C$39)*(1+Inputs!$C$28+Inputs!$C$40)^A9)+(1-C9)*(1-D9)*Y10)</f>
        <v/>
      </c>
    </row>
    <row r="10">
      <c r="A10" s="9" t="n">
        <v>2</v>
      </c>
      <c r="B10" s="9">
        <f>Inputs!$C$4+A10</f>
        <v/>
      </c>
      <c r="C10" s="10">
        <f>MIN(1,Inputs!$C$11*INDEX(CMI_TMN00!$B$3:$G$106,MATCH(B10,CMI_TMN00!$A$3:$A$106,0),MIN(A10,5)+1))</f>
        <v/>
      </c>
      <c r="D10" s="10">
        <f>IF(A10=Inputs!$C$35-1,0,MIN(1,Inputs!$C$23*IF(A10&lt;5,INDEX(Inputs!$C$17:$C$21,A10+1),Inputs!$C$22)))</f>
        <v/>
      </c>
      <c r="E10" s="10">
        <f>E9*(1-C9)*(1-D9)</f>
        <v/>
      </c>
      <c r="F10" s="9">
        <f>IF(Inputs!$C$3="MP",Inputs!$C$7*(1-(1/(1+Inputs!$C$8))^(Inputs!$C$35-A10))/(1-(1/(1+Inputs!$C$8))^Inputs!$C$35),Inputs!$C$7)</f>
        <v/>
      </c>
      <c r="G10" s="9">
        <f>$C$2</f>
        <v/>
      </c>
      <c r="H10" s="9">
        <f>IF(A10=0,Inputs!$C$29*G10,0)</f>
        <v/>
      </c>
      <c r="I10" s="9">
        <f>IF(A10=0,Inputs!$C$24,0)+(Inputs!$C$25+Inputs!$C$26)*(1+Inputs!$C$28)^A10</f>
        <v/>
      </c>
      <c r="J10" s="9">
        <f>Inputs!$C$27*(1+Inputs!$C$28)^A10</f>
        <v/>
      </c>
      <c r="K10" s="10">
        <f>1/(1+Inputs!$C$34)</f>
        <v/>
      </c>
      <c r="L10" s="9">
        <f>-G10+H10+I10+K10*(C10*(F10+J10)+(1-C10)*(1-D10)*L11)</f>
        <v/>
      </c>
      <c r="M10" s="10">
        <f>MIN(1,C10*Inputs!$C$30)</f>
        <v/>
      </c>
      <c r="N10" s="9">
        <f>-G10+H10+I10+(1/(1+Inputs!$C$31))*(M10*(F10+J10)+(1-M10)*N11)</f>
        <v/>
      </c>
      <c r="O10" s="9">
        <f>IF(A10=0,0,MAX(0,N10))</f>
        <v/>
      </c>
      <c r="P10" s="9">
        <f>(O10+G10-H10-I10)*(1+Inputs!$C$32)-C10*(F10+J10)-(1-C10)*(1-D10)*O11</f>
        <v/>
      </c>
      <c r="Q10" s="9">
        <f>E10*P10</f>
        <v/>
      </c>
      <c r="R10" s="10">
        <f>(1+Inputs!$C$33)^-(A10+1)</f>
        <v/>
      </c>
      <c r="S10" s="9">
        <f>Q10*R10</f>
        <v/>
      </c>
      <c r="T10" s="9">
        <f>SUM(S$8:S10)</f>
        <v/>
      </c>
      <c r="U10" s="9">
        <f>IF(T10&gt;=0,A10+1,999)</f>
        <v/>
      </c>
      <c r="V10" s="9">
        <f>E10*G10*(1+Inputs!$C$33)^-A10</f>
        <v/>
      </c>
      <c r="W10" s="9">
        <f>-G10+H10+I10+K10*(MIN(1,C10*(1+Inputs!$C$36))*(F10+J10)+(1-MIN(1,C10*(1+Inputs!$C$36)))*(1-D10)*W11)</f>
        <v/>
      </c>
      <c r="X10" s="9">
        <f>-G10+H10+I10+K10*(C10*(F10+J10)+(1-C10)*(1-MIN(1,Inputs!$C$37*D10))*X11)</f>
        <v/>
      </c>
      <c r="Y10" s="9">
        <f>-G10+H10+(IF(A10=0,Inputs!$C$24,0)+(Inputs!$C$25+Inputs!$C$26)*(1+Inputs!$C$28+Inputs!$C$40)^A10)*(1+Inputs!$C$39)+K10*(C10*(F10+Inputs!$C$27*(1+Inputs!$C$39)*(1+Inputs!$C$28+Inputs!$C$40)^A10)+(1-C10)*(1-D10)*Y11)</f>
        <v/>
      </c>
    </row>
    <row r="11">
      <c r="A11" s="9" t="n">
        <v>3</v>
      </c>
      <c r="B11" s="9">
        <f>Inputs!$C$4+A11</f>
        <v/>
      </c>
      <c r="C11" s="10">
        <f>MIN(1,Inputs!$C$11*INDEX(CMI_TMN00!$B$3:$G$106,MATCH(B11,CMI_TMN00!$A$3:$A$106,0),MIN(A11,5)+1))</f>
        <v/>
      </c>
      <c r="D11" s="10">
        <f>IF(A11=Inputs!$C$35-1,0,MIN(1,Inputs!$C$23*IF(A11&lt;5,INDEX(Inputs!$C$17:$C$21,A11+1),Inputs!$C$22)))</f>
        <v/>
      </c>
      <c r="E11" s="10">
        <f>E10*(1-C10)*(1-D10)</f>
        <v/>
      </c>
      <c r="F11" s="9">
        <f>IF(Inputs!$C$3="MP",Inputs!$C$7*(1-(1/(1+Inputs!$C$8))^(Inputs!$C$35-A11))/(1-(1/(1+Inputs!$C$8))^Inputs!$C$35),Inputs!$C$7)</f>
        <v/>
      </c>
      <c r="G11" s="9">
        <f>$C$2</f>
        <v/>
      </c>
      <c r="H11" s="9">
        <f>IF(A11=0,Inputs!$C$29*G11,0)</f>
        <v/>
      </c>
      <c r="I11" s="9">
        <f>IF(A11=0,Inputs!$C$24,0)+(Inputs!$C$25+Inputs!$C$26)*(1+Inputs!$C$28)^A11</f>
        <v/>
      </c>
      <c r="J11" s="9">
        <f>Inputs!$C$27*(1+Inputs!$C$28)^A11</f>
        <v/>
      </c>
      <c r="K11" s="10">
        <f>1/(1+Inputs!$C$34)</f>
        <v/>
      </c>
      <c r="L11" s="9">
        <f>-G11+H11+I11+K11*(C11*(F11+J11)+(1-C11)*(1-D11)*L12)</f>
        <v/>
      </c>
      <c r="M11" s="10">
        <f>MIN(1,C11*Inputs!$C$30)</f>
        <v/>
      </c>
      <c r="N11" s="9">
        <f>-G11+H11+I11+(1/(1+Inputs!$C$31))*(M11*(F11+J11)+(1-M11)*N12)</f>
        <v/>
      </c>
      <c r="O11" s="9">
        <f>IF(A11=0,0,MAX(0,N11))</f>
        <v/>
      </c>
      <c r="P11" s="9">
        <f>(O11+G11-H11-I11)*(1+Inputs!$C$32)-C11*(F11+J11)-(1-C11)*(1-D11)*O12</f>
        <v/>
      </c>
      <c r="Q11" s="9">
        <f>E11*P11</f>
        <v/>
      </c>
      <c r="R11" s="10">
        <f>(1+Inputs!$C$33)^-(A11+1)</f>
        <v/>
      </c>
      <c r="S11" s="9">
        <f>Q11*R11</f>
        <v/>
      </c>
      <c r="T11" s="9">
        <f>SUM(S$8:S11)</f>
        <v/>
      </c>
      <c r="U11" s="9">
        <f>IF(T11&gt;=0,A11+1,999)</f>
        <v/>
      </c>
      <c r="V11" s="9">
        <f>E11*G11*(1+Inputs!$C$33)^-A11</f>
        <v/>
      </c>
      <c r="W11" s="9">
        <f>-G11+H11+I11+K11*(MIN(1,C11*(1+Inputs!$C$36))*(F11+J11)+(1-MIN(1,C11*(1+Inputs!$C$36)))*(1-D11)*W12)</f>
        <v/>
      </c>
      <c r="X11" s="9">
        <f>-G11+H11+I11+K11*(C11*(F11+J11)+(1-C11)*(1-MIN(1,Inputs!$C$37*D11))*X12)</f>
        <v/>
      </c>
      <c r="Y11" s="9">
        <f>-G11+H11+(IF(A11=0,Inputs!$C$24,0)+(Inputs!$C$25+Inputs!$C$26)*(1+Inputs!$C$28+Inputs!$C$40)^A11)*(1+Inputs!$C$39)+K11*(C11*(F11+Inputs!$C$27*(1+Inputs!$C$39)*(1+Inputs!$C$28+Inputs!$C$40)^A11)+(1-C11)*(1-D11)*Y12)</f>
        <v/>
      </c>
    </row>
    <row r="12">
      <c r="A12" s="9" t="n">
        <v>4</v>
      </c>
      <c r="B12" s="9">
        <f>Inputs!$C$4+A12</f>
        <v/>
      </c>
      <c r="C12" s="10">
        <f>MIN(1,Inputs!$C$11*INDEX(CMI_TMN00!$B$3:$G$106,MATCH(B12,CMI_TMN00!$A$3:$A$106,0),MIN(A12,5)+1))</f>
        <v/>
      </c>
      <c r="D12" s="10">
        <f>IF(A12=Inputs!$C$35-1,0,MIN(1,Inputs!$C$23*IF(A12&lt;5,INDEX(Inputs!$C$17:$C$21,A12+1),Inputs!$C$22)))</f>
        <v/>
      </c>
      <c r="E12" s="10">
        <f>E11*(1-C11)*(1-D11)</f>
        <v/>
      </c>
      <c r="F12" s="9">
        <f>IF(Inputs!$C$3="MP",Inputs!$C$7*(1-(1/(1+Inputs!$C$8))^(Inputs!$C$35-A12))/(1-(1/(1+Inputs!$C$8))^Inputs!$C$35),Inputs!$C$7)</f>
        <v/>
      </c>
      <c r="G12" s="9">
        <f>$C$2</f>
        <v/>
      </c>
      <c r="H12" s="9">
        <f>IF(A12=0,Inputs!$C$29*G12,0)</f>
        <v/>
      </c>
      <c r="I12" s="9">
        <f>IF(A12=0,Inputs!$C$24,0)+(Inputs!$C$25+Inputs!$C$26)*(1+Inputs!$C$28)^A12</f>
        <v/>
      </c>
      <c r="J12" s="9">
        <f>Inputs!$C$27*(1+Inputs!$C$28)^A12</f>
        <v/>
      </c>
      <c r="K12" s="10">
        <f>1/(1+Inputs!$C$34)</f>
        <v/>
      </c>
      <c r="L12" s="9">
        <f>-G12+H12+I12+K12*(C12*(F12+J12)+(1-C12)*(1-D12)*L13)</f>
        <v/>
      </c>
      <c r="M12" s="10">
        <f>MIN(1,C12*Inputs!$C$30)</f>
        <v/>
      </c>
      <c r="N12" s="9">
        <f>-G12+H12+I12+(1/(1+Inputs!$C$31))*(M12*(F12+J12)+(1-M12)*N13)</f>
        <v/>
      </c>
      <c r="O12" s="9">
        <f>IF(A12=0,0,MAX(0,N12))</f>
        <v/>
      </c>
      <c r="P12" s="9">
        <f>(O12+G12-H12-I12)*(1+Inputs!$C$32)-C12*(F12+J12)-(1-C12)*(1-D12)*O13</f>
        <v/>
      </c>
      <c r="Q12" s="9">
        <f>E12*P12</f>
        <v/>
      </c>
      <c r="R12" s="10">
        <f>(1+Inputs!$C$33)^-(A12+1)</f>
        <v/>
      </c>
      <c r="S12" s="9">
        <f>Q12*R12</f>
        <v/>
      </c>
      <c r="T12" s="9">
        <f>SUM(S$8:S12)</f>
        <v/>
      </c>
      <c r="U12" s="9">
        <f>IF(T12&gt;=0,A12+1,999)</f>
        <v/>
      </c>
      <c r="V12" s="9">
        <f>E12*G12*(1+Inputs!$C$33)^-A12</f>
        <v/>
      </c>
      <c r="W12" s="9">
        <f>-G12+H12+I12+K12*(MIN(1,C12*(1+Inputs!$C$36))*(F12+J12)+(1-MIN(1,C12*(1+Inputs!$C$36)))*(1-D12)*W13)</f>
        <v/>
      </c>
      <c r="X12" s="9">
        <f>-G12+H12+I12+K12*(C12*(F12+J12)+(1-C12)*(1-MIN(1,Inputs!$C$37*D12))*X13)</f>
        <v/>
      </c>
      <c r="Y12" s="9">
        <f>-G12+H12+(IF(A12=0,Inputs!$C$24,0)+(Inputs!$C$25+Inputs!$C$26)*(1+Inputs!$C$28+Inputs!$C$40)^A12)*(1+Inputs!$C$39)+K12*(C12*(F12+Inputs!$C$27*(1+Inputs!$C$39)*(1+Inputs!$C$28+Inputs!$C$40)^A12)+(1-C12)*(1-D12)*Y13)</f>
        <v/>
      </c>
    </row>
    <row r="13">
      <c r="A13" s="9" t="n">
        <v>5</v>
      </c>
      <c r="B13" s="9">
        <f>Inputs!$C$4+A13</f>
        <v/>
      </c>
      <c r="C13" s="10">
        <f>MIN(1,Inputs!$C$11*INDEX(CMI_TMN00!$B$3:$G$106,MATCH(B13,CMI_TMN00!$A$3:$A$106,0),MIN(A13,5)+1))</f>
        <v/>
      </c>
      <c r="D13" s="10">
        <f>IF(A13=Inputs!$C$35-1,0,MIN(1,Inputs!$C$23*IF(A13&lt;5,INDEX(Inputs!$C$17:$C$21,A13+1),Inputs!$C$22)))</f>
        <v/>
      </c>
      <c r="E13" s="10">
        <f>E12*(1-C12)*(1-D12)</f>
        <v/>
      </c>
      <c r="F13" s="9">
        <f>IF(Inputs!$C$3="MP",Inputs!$C$7*(1-(1/(1+Inputs!$C$8))^(Inputs!$C$35-A13))/(1-(1/(1+Inputs!$C$8))^Inputs!$C$35),Inputs!$C$7)</f>
        <v/>
      </c>
      <c r="G13" s="9">
        <f>$C$2</f>
        <v/>
      </c>
      <c r="H13" s="9">
        <f>IF(A13=0,Inputs!$C$29*G13,0)</f>
        <v/>
      </c>
      <c r="I13" s="9">
        <f>IF(A13=0,Inputs!$C$24,0)+(Inputs!$C$25+Inputs!$C$26)*(1+Inputs!$C$28)^A13</f>
        <v/>
      </c>
      <c r="J13" s="9">
        <f>Inputs!$C$27*(1+Inputs!$C$28)^A13</f>
        <v/>
      </c>
      <c r="K13" s="10">
        <f>1/(1+Inputs!$C$34)</f>
        <v/>
      </c>
      <c r="L13" s="9">
        <f>-G13+H13+I13+K13*(C13*(F13+J13)+(1-C13)*(1-D13)*L14)</f>
        <v/>
      </c>
      <c r="M13" s="10">
        <f>MIN(1,C13*Inputs!$C$30)</f>
        <v/>
      </c>
      <c r="N13" s="9">
        <f>-G13+H13+I13+(1/(1+Inputs!$C$31))*(M13*(F13+J13)+(1-M13)*N14)</f>
        <v/>
      </c>
      <c r="O13" s="9">
        <f>IF(A13=0,0,MAX(0,N13))</f>
        <v/>
      </c>
      <c r="P13" s="9">
        <f>(O13+G13-H13-I13)*(1+Inputs!$C$32)-C13*(F13+J13)-(1-C13)*(1-D13)*O14</f>
        <v/>
      </c>
      <c r="Q13" s="9">
        <f>E13*P13</f>
        <v/>
      </c>
      <c r="R13" s="10">
        <f>(1+Inputs!$C$33)^-(A13+1)</f>
        <v/>
      </c>
      <c r="S13" s="9">
        <f>Q13*R13</f>
        <v/>
      </c>
      <c r="T13" s="9">
        <f>SUM(S$8:S13)</f>
        <v/>
      </c>
      <c r="U13" s="9">
        <f>IF(T13&gt;=0,A13+1,999)</f>
        <v/>
      </c>
      <c r="V13" s="9">
        <f>E13*G13*(1+Inputs!$C$33)^-A13</f>
        <v/>
      </c>
      <c r="W13" s="9">
        <f>-G13+H13+I13+K13*(MIN(1,C13*(1+Inputs!$C$36))*(F13+J13)+(1-MIN(1,C13*(1+Inputs!$C$36)))*(1-D13)*W14)</f>
        <v/>
      </c>
      <c r="X13" s="9">
        <f>-G13+H13+I13+K13*(C13*(F13+J13)+(1-C13)*(1-MIN(1,Inputs!$C$37*D13))*X14)</f>
        <v/>
      </c>
      <c r="Y13" s="9">
        <f>-G13+H13+(IF(A13=0,Inputs!$C$24,0)+(Inputs!$C$25+Inputs!$C$26)*(1+Inputs!$C$28+Inputs!$C$40)^A13)*(1+Inputs!$C$39)+K13*(C13*(F13+Inputs!$C$27*(1+Inputs!$C$39)*(1+Inputs!$C$28+Inputs!$C$40)^A13)+(1-C13)*(1-D13)*Y14)</f>
        <v/>
      </c>
    </row>
    <row r="14">
      <c r="A14" s="9" t="n">
        <v>6</v>
      </c>
      <c r="B14" s="9">
        <f>Inputs!$C$4+A14</f>
        <v/>
      </c>
      <c r="C14" s="10">
        <f>MIN(1,Inputs!$C$11*INDEX(CMI_TMN00!$B$3:$G$106,MATCH(B14,CMI_TMN00!$A$3:$A$106,0),MIN(A14,5)+1))</f>
        <v/>
      </c>
      <c r="D14" s="10">
        <f>IF(A14=Inputs!$C$35-1,0,MIN(1,Inputs!$C$23*IF(A14&lt;5,INDEX(Inputs!$C$17:$C$21,A14+1),Inputs!$C$22)))</f>
        <v/>
      </c>
      <c r="E14" s="10">
        <f>E13*(1-C13)*(1-D13)</f>
        <v/>
      </c>
      <c r="F14" s="9">
        <f>IF(Inputs!$C$3="MP",Inputs!$C$7*(1-(1/(1+Inputs!$C$8))^(Inputs!$C$35-A14))/(1-(1/(1+Inputs!$C$8))^Inputs!$C$35),Inputs!$C$7)</f>
        <v/>
      </c>
      <c r="G14" s="9">
        <f>$C$2</f>
        <v/>
      </c>
      <c r="H14" s="9">
        <f>IF(A14=0,Inputs!$C$29*G14,0)</f>
        <v/>
      </c>
      <c r="I14" s="9">
        <f>IF(A14=0,Inputs!$C$24,0)+(Inputs!$C$25+Inputs!$C$26)*(1+Inputs!$C$28)^A14</f>
        <v/>
      </c>
      <c r="J14" s="9">
        <f>Inputs!$C$27*(1+Inputs!$C$28)^A14</f>
        <v/>
      </c>
      <c r="K14" s="10">
        <f>1/(1+Inputs!$C$34)</f>
        <v/>
      </c>
      <c r="L14" s="9">
        <f>-G14+H14+I14+K14*(C14*(F14+J14)+(1-C14)*(1-D14)*L15)</f>
        <v/>
      </c>
      <c r="M14" s="10">
        <f>MIN(1,C14*Inputs!$C$30)</f>
        <v/>
      </c>
      <c r="N14" s="9">
        <f>-G14+H14+I14+(1/(1+Inputs!$C$31))*(M14*(F14+J14)+(1-M14)*N15)</f>
        <v/>
      </c>
      <c r="O14" s="9">
        <f>IF(A14=0,0,MAX(0,N14))</f>
        <v/>
      </c>
      <c r="P14" s="9">
        <f>(O14+G14-H14-I14)*(1+Inputs!$C$32)-C14*(F14+J14)-(1-C14)*(1-D14)*O15</f>
        <v/>
      </c>
      <c r="Q14" s="9">
        <f>E14*P14</f>
        <v/>
      </c>
      <c r="R14" s="10">
        <f>(1+Inputs!$C$33)^-(A14+1)</f>
        <v/>
      </c>
      <c r="S14" s="9">
        <f>Q14*R14</f>
        <v/>
      </c>
      <c r="T14" s="9">
        <f>SUM(S$8:S14)</f>
        <v/>
      </c>
      <c r="U14" s="9">
        <f>IF(T14&gt;=0,A14+1,999)</f>
        <v/>
      </c>
      <c r="V14" s="9">
        <f>E14*G14*(1+Inputs!$C$33)^-A14</f>
        <v/>
      </c>
      <c r="W14" s="9">
        <f>-G14+H14+I14+K14*(MIN(1,C14*(1+Inputs!$C$36))*(F14+J14)+(1-MIN(1,C14*(1+Inputs!$C$36)))*(1-D14)*W15)</f>
        <v/>
      </c>
      <c r="X14" s="9">
        <f>-G14+H14+I14+K14*(C14*(F14+J14)+(1-C14)*(1-MIN(1,Inputs!$C$37*D14))*X15)</f>
        <v/>
      </c>
      <c r="Y14" s="9">
        <f>-G14+H14+(IF(A14=0,Inputs!$C$24,0)+(Inputs!$C$25+Inputs!$C$26)*(1+Inputs!$C$28+Inputs!$C$40)^A14)*(1+Inputs!$C$39)+K14*(C14*(F14+Inputs!$C$27*(1+Inputs!$C$39)*(1+Inputs!$C$28+Inputs!$C$40)^A14)+(1-C14)*(1-D14)*Y15)</f>
        <v/>
      </c>
    </row>
    <row r="15">
      <c r="A15" s="9" t="n">
        <v>7</v>
      </c>
      <c r="B15" s="9">
        <f>Inputs!$C$4+A15</f>
        <v/>
      </c>
      <c r="C15" s="10">
        <f>MIN(1,Inputs!$C$11*INDEX(CMI_TMN00!$B$3:$G$106,MATCH(B15,CMI_TMN00!$A$3:$A$106,0),MIN(A15,5)+1))</f>
        <v/>
      </c>
      <c r="D15" s="10">
        <f>IF(A15=Inputs!$C$35-1,0,MIN(1,Inputs!$C$23*IF(A15&lt;5,INDEX(Inputs!$C$17:$C$21,A15+1),Inputs!$C$22)))</f>
        <v/>
      </c>
      <c r="E15" s="10">
        <f>E14*(1-C14)*(1-D14)</f>
        <v/>
      </c>
      <c r="F15" s="9">
        <f>IF(Inputs!$C$3="MP",Inputs!$C$7*(1-(1/(1+Inputs!$C$8))^(Inputs!$C$35-A15))/(1-(1/(1+Inputs!$C$8))^Inputs!$C$35),Inputs!$C$7)</f>
        <v/>
      </c>
      <c r="G15" s="9">
        <f>$C$2</f>
        <v/>
      </c>
      <c r="H15" s="9">
        <f>IF(A15=0,Inputs!$C$29*G15,0)</f>
        <v/>
      </c>
      <c r="I15" s="9">
        <f>IF(A15=0,Inputs!$C$24,0)+(Inputs!$C$25+Inputs!$C$26)*(1+Inputs!$C$28)^A15</f>
        <v/>
      </c>
      <c r="J15" s="9">
        <f>Inputs!$C$27*(1+Inputs!$C$28)^A15</f>
        <v/>
      </c>
      <c r="K15" s="10">
        <f>1/(1+Inputs!$C$34)</f>
        <v/>
      </c>
      <c r="L15" s="9">
        <f>-G15+H15+I15+K15*(C15*(F15+J15)+(1-C15)*(1-D15)*L16)</f>
        <v/>
      </c>
      <c r="M15" s="10">
        <f>MIN(1,C15*Inputs!$C$30)</f>
        <v/>
      </c>
      <c r="N15" s="9">
        <f>-G15+H15+I15+(1/(1+Inputs!$C$31))*(M15*(F15+J15)+(1-M15)*N16)</f>
        <v/>
      </c>
      <c r="O15" s="9">
        <f>IF(A15=0,0,MAX(0,N15))</f>
        <v/>
      </c>
      <c r="P15" s="9">
        <f>(O15+G15-H15-I15)*(1+Inputs!$C$32)-C15*(F15+J15)-(1-C15)*(1-D15)*O16</f>
        <v/>
      </c>
      <c r="Q15" s="9">
        <f>E15*P15</f>
        <v/>
      </c>
      <c r="R15" s="10">
        <f>(1+Inputs!$C$33)^-(A15+1)</f>
        <v/>
      </c>
      <c r="S15" s="9">
        <f>Q15*R15</f>
        <v/>
      </c>
      <c r="T15" s="9">
        <f>SUM(S$8:S15)</f>
        <v/>
      </c>
      <c r="U15" s="9">
        <f>IF(T15&gt;=0,A15+1,999)</f>
        <v/>
      </c>
      <c r="V15" s="9">
        <f>E15*G15*(1+Inputs!$C$33)^-A15</f>
        <v/>
      </c>
      <c r="W15" s="9">
        <f>-G15+H15+I15+K15*(MIN(1,C15*(1+Inputs!$C$36))*(F15+J15)+(1-MIN(1,C15*(1+Inputs!$C$36)))*(1-D15)*W16)</f>
        <v/>
      </c>
      <c r="X15" s="9">
        <f>-G15+H15+I15+K15*(C15*(F15+J15)+(1-C15)*(1-MIN(1,Inputs!$C$37*D15))*X16)</f>
        <v/>
      </c>
      <c r="Y15" s="9">
        <f>-G15+H15+(IF(A15=0,Inputs!$C$24,0)+(Inputs!$C$25+Inputs!$C$26)*(1+Inputs!$C$28+Inputs!$C$40)^A15)*(1+Inputs!$C$39)+K15*(C15*(F15+Inputs!$C$27*(1+Inputs!$C$39)*(1+Inputs!$C$28+Inputs!$C$40)^A15)+(1-C15)*(1-D15)*Y16)</f>
        <v/>
      </c>
    </row>
    <row r="16">
      <c r="A16" s="9" t="n">
        <v>8</v>
      </c>
      <c r="B16" s="9">
        <f>Inputs!$C$4+A16</f>
        <v/>
      </c>
      <c r="C16" s="10">
        <f>MIN(1,Inputs!$C$11*INDEX(CMI_TMN00!$B$3:$G$106,MATCH(B16,CMI_TMN00!$A$3:$A$106,0),MIN(A16,5)+1))</f>
        <v/>
      </c>
      <c r="D16" s="10">
        <f>IF(A16=Inputs!$C$35-1,0,MIN(1,Inputs!$C$23*IF(A16&lt;5,INDEX(Inputs!$C$17:$C$21,A16+1),Inputs!$C$22)))</f>
        <v/>
      </c>
      <c r="E16" s="10">
        <f>E15*(1-C15)*(1-D15)</f>
        <v/>
      </c>
      <c r="F16" s="9">
        <f>IF(Inputs!$C$3="MP",Inputs!$C$7*(1-(1/(1+Inputs!$C$8))^(Inputs!$C$35-A16))/(1-(1/(1+Inputs!$C$8))^Inputs!$C$35),Inputs!$C$7)</f>
        <v/>
      </c>
      <c r="G16" s="9">
        <f>$C$2</f>
        <v/>
      </c>
      <c r="H16" s="9">
        <f>IF(A16=0,Inputs!$C$29*G16,0)</f>
        <v/>
      </c>
      <c r="I16" s="9">
        <f>IF(A16=0,Inputs!$C$24,0)+(Inputs!$C$25+Inputs!$C$26)*(1+Inputs!$C$28)^A16</f>
        <v/>
      </c>
      <c r="J16" s="9">
        <f>Inputs!$C$27*(1+Inputs!$C$28)^A16</f>
        <v/>
      </c>
      <c r="K16" s="10">
        <f>1/(1+Inputs!$C$34)</f>
        <v/>
      </c>
      <c r="L16" s="9">
        <f>-G16+H16+I16+K16*(C16*(F16+J16)+(1-C16)*(1-D16)*L17)</f>
        <v/>
      </c>
      <c r="M16" s="10">
        <f>MIN(1,C16*Inputs!$C$30)</f>
        <v/>
      </c>
      <c r="N16" s="9">
        <f>-G16+H16+I16+(1/(1+Inputs!$C$31))*(M16*(F16+J16)+(1-M16)*N17)</f>
        <v/>
      </c>
      <c r="O16" s="9">
        <f>IF(A16=0,0,MAX(0,N16))</f>
        <v/>
      </c>
      <c r="P16" s="9">
        <f>(O16+G16-H16-I16)*(1+Inputs!$C$32)-C16*(F16+J16)-(1-C16)*(1-D16)*O17</f>
        <v/>
      </c>
      <c r="Q16" s="9">
        <f>E16*P16</f>
        <v/>
      </c>
      <c r="R16" s="10">
        <f>(1+Inputs!$C$33)^-(A16+1)</f>
        <v/>
      </c>
      <c r="S16" s="9">
        <f>Q16*R16</f>
        <v/>
      </c>
      <c r="T16" s="9">
        <f>SUM(S$8:S16)</f>
        <v/>
      </c>
      <c r="U16" s="9">
        <f>IF(T16&gt;=0,A16+1,999)</f>
        <v/>
      </c>
      <c r="V16" s="9">
        <f>E16*G16*(1+Inputs!$C$33)^-A16</f>
        <v/>
      </c>
      <c r="W16" s="9">
        <f>-G16+H16+I16+K16*(MIN(1,C16*(1+Inputs!$C$36))*(F16+J16)+(1-MIN(1,C16*(1+Inputs!$C$36)))*(1-D16)*W17)</f>
        <v/>
      </c>
      <c r="X16" s="9">
        <f>-G16+H16+I16+K16*(C16*(F16+J16)+(1-C16)*(1-MIN(1,Inputs!$C$37*D16))*X17)</f>
        <v/>
      </c>
      <c r="Y16" s="9">
        <f>-G16+H16+(IF(A16=0,Inputs!$C$24,0)+(Inputs!$C$25+Inputs!$C$26)*(1+Inputs!$C$28+Inputs!$C$40)^A16)*(1+Inputs!$C$39)+K16*(C16*(F16+Inputs!$C$27*(1+Inputs!$C$39)*(1+Inputs!$C$28+Inputs!$C$40)^A16)+(1-C16)*(1-D16)*Y17)</f>
        <v/>
      </c>
    </row>
    <row r="17">
      <c r="A17" s="9" t="n">
        <v>9</v>
      </c>
      <c r="B17" s="9">
        <f>Inputs!$C$4+A17</f>
        <v/>
      </c>
      <c r="C17" s="10">
        <f>MIN(1,Inputs!$C$11*INDEX(CMI_TMN00!$B$3:$G$106,MATCH(B17,CMI_TMN00!$A$3:$A$106,0),MIN(A17,5)+1))</f>
        <v/>
      </c>
      <c r="D17" s="10">
        <f>IF(A17=Inputs!$C$35-1,0,MIN(1,Inputs!$C$23*IF(A17&lt;5,INDEX(Inputs!$C$17:$C$21,A17+1),Inputs!$C$22)))</f>
        <v/>
      </c>
      <c r="E17" s="10">
        <f>E16*(1-C16)*(1-D16)</f>
        <v/>
      </c>
      <c r="F17" s="9">
        <f>IF(Inputs!$C$3="MP",Inputs!$C$7*(1-(1/(1+Inputs!$C$8))^(Inputs!$C$35-A17))/(1-(1/(1+Inputs!$C$8))^Inputs!$C$35),Inputs!$C$7)</f>
        <v/>
      </c>
      <c r="G17" s="9">
        <f>$C$2</f>
        <v/>
      </c>
      <c r="H17" s="9">
        <f>IF(A17=0,Inputs!$C$29*G17,0)</f>
        <v/>
      </c>
      <c r="I17" s="9">
        <f>IF(A17=0,Inputs!$C$24,0)+(Inputs!$C$25+Inputs!$C$26)*(1+Inputs!$C$28)^A17</f>
        <v/>
      </c>
      <c r="J17" s="9">
        <f>Inputs!$C$27*(1+Inputs!$C$28)^A17</f>
        <v/>
      </c>
      <c r="K17" s="10">
        <f>1/(1+Inputs!$C$34)</f>
        <v/>
      </c>
      <c r="L17" s="9">
        <f>-G17+H17+I17+K17*(C17*(F17+J17)+(1-C17)*(1-D17)*L18)</f>
        <v/>
      </c>
      <c r="M17" s="10">
        <f>MIN(1,C17*Inputs!$C$30)</f>
        <v/>
      </c>
      <c r="N17" s="9">
        <f>-G17+H17+I17+(1/(1+Inputs!$C$31))*(M17*(F17+J17)+(1-M17)*N18)</f>
        <v/>
      </c>
      <c r="O17" s="9">
        <f>IF(A17=0,0,MAX(0,N17))</f>
        <v/>
      </c>
      <c r="P17" s="9">
        <f>(O17+G17-H17-I17)*(1+Inputs!$C$32)-C17*(F17+J17)-(1-C17)*(1-D17)*O18</f>
        <v/>
      </c>
      <c r="Q17" s="9">
        <f>E17*P17</f>
        <v/>
      </c>
      <c r="R17" s="10">
        <f>(1+Inputs!$C$33)^-(A17+1)</f>
        <v/>
      </c>
      <c r="S17" s="9">
        <f>Q17*R17</f>
        <v/>
      </c>
      <c r="T17" s="9">
        <f>SUM(S$8:S17)</f>
        <v/>
      </c>
      <c r="U17" s="9">
        <f>IF(T17&gt;=0,A17+1,999)</f>
        <v/>
      </c>
      <c r="V17" s="9">
        <f>E17*G17*(1+Inputs!$C$33)^-A17</f>
        <v/>
      </c>
      <c r="W17" s="9">
        <f>-G17+H17+I17+K17*(MIN(1,C17*(1+Inputs!$C$36))*(F17+J17)+(1-MIN(1,C17*(1+Inputs!$C$36)))*(1-D17)*W18)</f>
        <v/>
      </c>
      <c r="X17" s="9">
        <f>-G17+H17+I17+K17*(C17*(F17+J17)+(1-C17)*(1-MIN(1,Inputs!$C$37*D17))*X18)</f>
        <v/>
      </c>
      <c r="Y17" s="9">
        <f>-G17+H17+(IF(A17=0,Inputs!$C$24,0)+(Inputs!$C$25+Inputs!$C$26)*(1+Inputs!$C$28+Inputs!$C$40)^A17)*(1+Inputs!$C$39)+K17*(C17*(F17+Inputs!$C$27*(1+Inputs!$C$39)*(1+Inputs!$C$28+Inputs!$C$40)^A17)+(1-C17)*(1-D17)*Y18)</f>
        <v/>
      </c>
    </row>
    <row r="18">
      <c r="A18" s="9" t="n">
        <v>10</v>
      </c>
      <c r="B18" s="9">
        <f>Inputs!$C$4+A18</f>
        <v/>
      </c>
      <c r="C18" s="10">
        <f>MIN(1,Inputs!$C$11*INDEX(CMI_TMN00!$B$3:$G$106,MATCH(B18,CMI_TMN00!$A$3:$A$106,0),MIN(A18,5)+1))</f>
        <v/>
      </c>
      <c r="D18" s="10">
        <f>IF(A18=Inputs!$C$35-1,0,MIN(1,Inputs!$C$23*IF(A18&lt;5,INDEX(Inputs!$C$17:$C$21,A18+1),Inputs!$C$22)))</f>
        <v/>
      </c>
      <c r="E18" s="10">
        <f>E17*(1-C17)*(1-D17)</f>
        <v/>
      </c>
      <c r="F18" s="9">
        <f>IF(Inputs!$C$3="MP",Inputs!$C$7*(1-(1/(1+Inputs!$C$8))^(Inputs!$C$35-A18))/(1-(1/(1+Inputs!$C$8))^Inputs!$C$35),Inputs!$C$7)</f>
        <v/>
      </c>
      <c r="G18" s="9">
        <f>$C$2</f>
        <v/>
      </c>
      <c r="H18" s="9">
        <f>IF(A18=0,Inputs!$C$29*G18,0)</f>
        <v/>
      </c>
      <c r="I18" s="9">
        <f>IF(A18=0,Inputs!$C$24,0)+(Inputs!$C$25+Inputs!$C$26)*(1+Inputs!$C$28)^A18</f>
        <v/>
      </c>
      <c r="J18" s="9">
        <f>Inputs!$C$27*(1+Inputs!$C$28)^A18</f>
        <v/>
      </c>
      <c r="K18" s="10">
        <f>1/(1+Inputs!$C$34)</f>
        <v/>
      </c>
      <c r="L18" s="9">
        <f>-G18+H18+I18+K18*(C18*(F18+J18)+(1-C18)*(1-D18)*L19)</f>
        <v/>
      </c>
      <c r="M18" s="10">
        <f>MIN(1,C18*Inputs!$C$30)</f>
        <v/>
      </c>
      <c r="N18" s="9">
        <f>-G18+H18+I18+(1/(1+Inputs!$C$31))*(M18*(F18+J18)+(1-M18)*N19)</f>
        <v/>
      </c>
      <c r="O18" s="9">
        <f>IF(A18=0,0,MAX(0,N18))</f>
        <v/>
      </c>
      <c r="P18" s="9">
        <f>(O18+G18-H18-I18)*(1+Inputs!$C$32)-C18*(F18+J18)-(1-C18)*(1-D18)*O19</f>
        <v/>
      </c>
      <c r="Q18" s="9">
        <f>E18*P18</f>
        <v/>
      </c>
      <c r="R18" s="10">
        <f>(1+Inputs!$C$33)^-(A18+1)</f>
        <v/>
      </c>
      <c r="S18" s="9">
        <f>Q18*R18</f>
        <v/>
      </c>
      <c r="T18" s="9">
        <f>SUM(S$8:S18)</f>
        <v/>
      </c>
      <c r="U18" s="9">
        <f>IF(T18&gt;=0,A18+1,999)</f>
        <v/>
      </c>
      <c r="V18" s="9">
        <f>E18*G18*(1+Inputs!$C$33)^-A18</f>
        <v/>
      </c>
      <c r="W18" s="9">
        <f>-G18+H18+I18+K18*(MIN(1,C18*(1+Inputs!$C$36))*(F18+J18)+(1-MIN(1,C18*(1+Inputs!$C$36)))*(1-D18)*W19)</f>
        <v/>
      </c>
      <c r="X18" s="9">
        <f>-G18+H18+I18+K18*(C18*(F18+J18)+(1-C18)*(1-MIN(1,Inputs!$C$37*D18))*X19)</f>
        <v/>
      </c>
      <c r="Y18" s="9">
        <f>-G18+H18+(IF(A18=0,Inputs!$C$24,0)+(Inputs!$C$25+Inputs!$C$26)*(1+Inputs!$C$28+Inputs!$C$40)^A18)*(1+Inputs!$C$39)+K18*(C18*(F18+Inputs!$C$27*(1+Inputs!$C$39)*(1+Inputs!$C$28+Inputs!$C$40)^A18)+(1-C18)*(1-D18)*Y19)</f>
        <v/>
      </c>
    </row>
    <row r="19">
      <c r="A19" s="9" t="n">
        <v>11</v>
      </c>
      <c r="B19" s="9">
        <f>Inputs!$C$4+A19</f>
        <v/>
      </c>
      <c r="C19" s="10">
        <f>MIN(1,Inputs!$C$11*INDEX(CMI_TMN00!$B$3:$G$106,MATCH(B19,CMI_TMN00!$A$3:$A$106,0),MIN(A19,5)+1))</f>
        <v/>
      </c>
      <c r="D19" s="10">
        <f>IF(A19=Inputs!$C$35-1,0,MIN(1,Inputs!$C$23*IF(A19&lt;5,INDEX(Inputs!$C$17:$C$21,A19+1),Inputs!$C$22)))</f>
        <v/>
      </c>
      <c r="E19" s="10">
        <f>E18*(1-C18)*(1-D18)</f>
        <v/>
      </c>
      <c r="F19" s="9">
        <f>IF(Inputs!$C$3="MP",Inputs!$C$7*(1-(1/(1+Inputs!$C$8))^(Inputs!$C$35-A19))/(1-(1/(1+Inputs!$C$8))^Inputs!$C$35),Inputs!$C$7)</f>
        <v/>
      </c>
      <c r="G19" s="9">
        <f>$C$2</f>
        <v/>
      </c>
      <c r="H19" s="9">
        <f>IF(A19=0,Inputs!$C$29*G19,0)</f>
        <v/>
      </c>
      <c r="I19" s="9">
        <f>IF(A19=0,Inputs!$C$24,0)+(Inputs!$C$25+Inputs!$C$26)*(1+Inputs!$C$28)^A19</f>
        <v/>
      </c>
      <c r="J19" s="9">
        <f>Inputs!$C$27*(1+Inputs!$C$28)^A19</f>
        <v/>
      </c>
      <c r="K19" s="10">
        <f>1/(1+Inputs!$C$34)</f>
        <v/>
      </c>
      <c r="L19" s="9">
        <f>-G19+H19+I19+K19*(C19*(F19+J19)+(1-C19)*(1-D19)*L20)</f>
        <v/>
      </c>
      <c r="M19" s="10">
        <f>MIN(1,C19*Inputs!$C$30)</f>
        <v/>
      </c>
      <c r="N19" s="9">
        <f>-G19+H19+I19+(1/(1+Inputs!$C$31))*(M19*(F19+J19)+(1-M19)*N20)</f>
        <v/>
      </c>
      <c r="O19" s="9">
        <f>IF(A19=0,0,MAX(0,N19))</f>
        <v/>
      </c>
      <c r="P19" s="9">
        <f>(O19+G19-H19-I19)*(1+Inputs!$C$32)-C19*(F19+J19)-(1-C19)*(1-D19)*O20</f>
        <v/>
      </c>
      <c r="Q19" s="9">
        <f>E19*P19</f>
        <v/>
      </c>
      <c r="R19" s="10">
        <f>(1+Inputs!$C$33)^-(A19+1)</f>
        <v/>
      </c>
      <c r="S19" s="9">
        <f>Q19*R19</f>
        <v/>
      </c>
      <c r="T19" s="9">
        <f>SUM(S$8:S19)</f>
        <v/>
      </c>
      <c r="U19" s="9">
        <f>IF(T19&gt;=0,A19+1,999)</f>
        <v/>
      </c>
      <c r="V19" s="9">
        <f>E19*G19*(1+Inputs!$C$33)^-A19</f>
        <v/>
      </c>
      <c r="W19" s="9">
        <f>-G19+H19+I19+K19*(MIN(1,C19*(1+Inputs!$C$36))*(F19+J19)+(1-MIN(1,C19*(1+Inputs!$C$36)))*(1-D19)*W20)</f>
        <v/>
      </c>
      <c r="X19" s="9">
        <f>-G19+H19+I19+K19*(C19*(F19+J19)+(1-C19)*(1-MIN(1,Inputs!$C$37*D19))*X20)</f>
        <v/>
      </c>
      <c r="Y19" s="9">
        <f>-G19+H19+(IF(A19=0,Inputs!$C$24,0)+(Inputs!$C$25+Inputs!$C$26)*(1+Inputs!$C$28+Inputs!$C$40)^A19)*(1+Inputs!$C$39)+K19*(C19*(F19+Inputs!$C$27*(1+Inputs!$C$39)*(1+Inputs!$C$28+Inputs!$C$40)^A19)+(1-C19)*(1-D19)*Y20)</f>
        <v/>
      </c>
    </row>
    <row r="20">
      <c r="A20" s="9" t="n">
        <v>12</v>
      </c>
      <c r="B20" s="9">
        <f>Inputs!$C$4+A20</f>
        <v/>
      </c>
      <c r="C20" s="10">
        <f>MIN(1,Inputs!$C$11*INDEX(CMI_TMN00!$B$3:$G$106,MATCH(B20,CMI_TMN00!$A$3:$A$106,0),MIN(A20,5)+1))</f>
        <v/>
      </c>
      <c r="D20" s="10">
        <f>IF(A20=Inputs!$C$35-1,0,MIN(1,Inputs!$C$23*IF(A20&lt;5,INDEX(Inputs!$C$17:$C$21,A20+1),Inputs!$C$22)))</f>
        <v/>
      </c>
      <c r="E20" s="10">
        <f>E19*(1-C19)*(1-D19)</f>
        <v/>
      </c>
      <c r="F20" s="9">
        <f>IF(Inputs!$C$3="MP",Inputs!$C$7*(1-(1/(1+Inputs!$C$8))^(Inputs!$C$35-A20))/(1-(1/(1+Inputs!$C$8))^Inputs!$C$35),Inputs!$C$7)</f>
        <v/>
      </c>
      <c r="G20" s="9">
        <f>$C$2</f>
        <v/>
      </c>
      <c r="H20" s="9">
        <f>IF(A20=0,Inputs!$C$29*G20,0)</f>
        <v/>
      </c>
      <c r="I20" s="9">
        <f>IF(A20=0,Inputs!$C$24,0)+(Inputs!$C$25+Inputs!$C$26)*(1+Inputs!$C$28)^A20</f>
        <v/>
      </c>
      <c r="J20" s="9">
        <f>Inputs!$C$27*(1+Inputs!$C$28)^A20</f>
        <v/>
      </c>
      <c r="K20" s="10">
        <f>1/(1+Inputs!$C$34)</f>
        <v/>
      </c>
      <c r="L20" s="9">
        <f>-G20+H20+I20+K20*(C20*(F20+J20)+(1-C20)*(1-D20)*L21)</f>
        <v/>
      </c>
      <c r="M20" s="10">
        <f>MIN(1,C20*Inputs!$C$30)</f>
        <v/>
      </c>
      <c r="N20" s="9">
        <f>-G20+H20+I20+(1/(1+Inputs!$C$31))*(M20*(F20+J20)+(1-M20)*N21)</f>
        <v/>
      </c>
      <c r="O20" s="9">
        <f>IF(A20=0,0,MAX(0,N20))</f>
        <v/>
      </c>
      <c r="P20" s="9">
        <f>(O20+G20-H20-I20)*(1+Inputs!$C$32)-C20*(F20+J20)-(1-C20)*(1-D20)*O21</f>
        <v/>
      </c>
      <c r="Q20" s="9">
        <f>E20*P20</f>
        <v/>
      </c>
      <c r="R20" s="10">
        <f>(1+Inputs!$C$33)^-(A20+1)</f>
        <v/>
      </c>
      <c r="S20" s="9">
        <f>Q20*R20</f>
        <v/>
      </c>
      <c r="T20" s="9">
        <f>SUM(S$8:S20)</f>
        <v/>
      </c>
      <c r="U20" s="9">
        <f>IF(T20&gt;=0,A20+1,999)</f>
        <v/>
      </c>
      <c r="V20" s="9">
        <f>E20*G20*(1+Inputs!$C$33)^-A20</f>
        <v/>
      </c>
      <c r="W20" s="9">
        <f>-G20+H20+I20+K20*(MIN(1,C20*(1+Inputs!$C$36))*(F20+J20)+(1-MIN(1,C20*(1+Inputs!$C$36)))*(1-D20)*W21)</f>
        <v/>
      </c>
      <c r="X20" s="9">
        <f>-G20+H20+I20+K20*(C20*(F20+J20)+(1-C20)*(1-MIN(1,Inputs!$C$37*D20))*X21)</f>
        <v/>
      </c>
      <c r="Y20" s="9">
        <f>-G20+H20+(IF(A20=0,Inputs!$C$24,0)+(Inputs!$C$25+Inputs!$C$26)*(1+Inputs!$C$28+Inputs!$C$40)^A20)*(1+Inputs!$C$39)+K20*(C20*(F20+Inputs!$C$27*(1+Inputs!$C$39)*(1+Inputs!$C$28+Inputs!$C$40)^A20)+(1-C20)*(1-D20)*Y21)</f>
        <v/>
      </c>
    </row>
    <row r="21">
      <c r="A21" s="9" t="n">
        <v>13</v>
      </c>
      <c r="B21" s="9">
        <f>Inputs!$C$4+A21</f>
        <v/>
      </c>
      <c r="C21" s="10">
        <f>MIN(1,Inputs!$C$11*INDEX(CMI_TMN00!$B$3:$G$106,MATCH(B21,CMI_TMN00!$A$3:$A$106,0),MIN(A21,5)+1))</f>
        <v/>
      </c>
      <c r="D21" s="10">
        <f>IF(A21=Inputs!$C$35-1,0,MIN(1,Inputs!$C$23*IF(A21&lt;5,INDEX(Inputs!$C$17:$C$21,A21+1),Inputs!$C$22)))</f>
        <v/>
      </c>
      <c r="E21" s="10">
        <f>E20*(1-C20)*(1-D20)</f>
        <v/>
      </c>
      <c r="F21" s="9">
        <f>IF(Inputs!$C$3="MP",Inputs!$C$7*(1-(1/(1+Inputs!$C$8))^(Inputs!$C$35-A21))/(1-(1/(1+Inputs!$C$8))^Inputs!$C$35),Inputs!$C$7)</f>
        <v/>
      </c>
      <c r="G21" s="9">
        <f>$C$2</f>
        <v/>
      </c>
      <c r="H21" s="9">
        <f>IF(A21=0,Inputs!$C$29*G21,0)</f>
        <v/>
      </c>
      <c r="I21" s="9">
        <f>IF(A21=0,Inputs!$C$24,0)+(Inputs!$C$25+Inputs!$C$26)*(1+Inputs!$C$28)^A21</f>
        <v/>
      </c>
      <c r="J21" s="9">
        <f>Inputs!$C$27*(1+Inputs!$C$28)^A21</f>
        <v/>
      </c>
      <c r="K21" s="10">
        <f>1/(1+Inputs!$C$34)</f>
        <v/>
      </c>
      <c r="L21" s="9">
        <f>-G21+H21+I21+K21*(C21*(F21+J21)+(1-C21)*(1-D21)*L22)</f>
        <v/>
      </c>
      <c r="M21" s="10">
        <f>MIN(1,C21*Inputs!$C$30)</f>
        <v/>
      </c>
      <c r="N21" s="9">
        <f>-G21+H21+I21+(1/(1+Inputs!$C$31))*(M21*(F21+J21)+(1-M21)*N22)</f>
        <v/>
      </c>
      <c r="O21" s="9">
        <f>IF(A21=0,0,MAX(0,N21))</f>
        <v/>
      </c>
      <c r="P21" s="9">
        <f>(O21+G21-H21-I21)*(1+Inputs!$C$32)-C21*(F21+J21)-(1-C21)*(1-D21)*O22</f>
        <v/>
      </c>
      <c r="Q21" s="9">
        <f>E21*P21</f>
        <v/>
      </c>
      <c r="R21" s="10">
        <f>(1+Inputs!$C$33)^-(A21+1)</f>
        <v/>
      </c>
      <c r="S21" s="9">
        <f>Q21*R21</f>
        <v/>
      </c>
      <c r="T21" s="9">
        <f>SUM(S$8:S21)</f>
        <v/>
      </c>
      <c r="U21" s="9">
        <f>IF(T21&gt;=0,A21+1,999)</f>
        <v/>
      </c>
      <c r="V21" s="9">
        <f>E21*G21*(1+Inputs!$C$33)^-A21</f>
        <v/>
      </c>
      <c r="W21" s="9">
        <f>-G21+H21+I21+K21*(MIN(1,C21*(1+Inputs!$C$36))*(F21+J21)+(1-MIN(1,C21*(1+Inputs!$C$36)))*(1-D21)*W22)</f>
        <v/>
      </c>
      <c r="X21" s="9">
        <f>-G21+H21+I21+K21*(C21*(F21+J21)+(1-C21)*(1-MIN(1,Inputs!$C$37*D21))*X22)</f>
        <v/>
      </c>
      <c r="Y21" s="9">
        <f>-G21+H21+(IF(A21=0,Inputs!$C$24,0)+(Inputs!$C$25+Inputs!$C$26)*(1+Inputs!$C$28+Inputs!$C$40)^A21)*(1+Inputs!$C$39)+K21*(C21*(F21+Inputs!$C$27*(1+Inputs!$C$39)*(1+Inputs!$C$28+Inputs!$C$40)^A21)+(1-C21)*(1-D21)*Y22)</f>
        <v/>
      </c>
    </row>
    <row r="22">
      <c r="A22" s="9" t="n">
        <v>14</v>
      </c>
      <c r="B22" s="9">
        <f>Inputs!$C$4+A22</f>
        <v/>
      </c>
      <c r="C22" s="10">
        <f>MIN(1,Inputs!$C$11*INDEX(CMI_TMN00!$B$3:$G$106,MATCH(B22,CMI_TMN00!$A$3:$A$106,0),MIN(A22,5)+1))</f>
        <v/>
      </c>
      <c r="D22" s="10">
        <f>IF(A22=Inputs!$C$35-1,0,MIN(1,Inputs!$C$23*IF(A22&lt;5,INDEX(Inputs!$C$17:$C$21,A22+1),Inputs!$C$22)))</f>
        <v/>
      </c>
      <c r="E22" s="10">
        <f>E21*(1-C21)*(1-D21)</f>
        <v/>
      </c>
      <c r="F22" s="9">
        <f>IF(Inputs!$C$3="MP",Inputs!$C$7*(1-(1/(1+Inputs!$C$8))^(Inputs!$C$35-A22))/(1-(1/(1+Inputs!$C$8))^Inputs!$C$35),Inputs!$C$7)</f>
        <v/>
      </c>
      <c r="G22" s="9">
        <f>$C$2</f>
        <v/>
      </c>
      <c r="H22" s="9">
        <f>IF(A22=0,Inputs!$C$29*G22,0)</f>
        <v/>
      </c>
      <c r="I22" s="9">
        <f>IF(A22=0,Inputs!$C$24,0)+(Inputs!$C$25+Inputs!$C$26)*(1+Inputs!$C$28)^A22</f>
        <v/>
      </c>
      <c r="J22" s="9">
        <f>Inputs!$C$27*(1+Inputs!$C$28)^A22</f>
        <v/>
      </c>
      <c r="K22" s="10">
        <f>1/(1+Inputs!$C$34)</f>
        <v/>
      </c>
      <c r="L22" s="9">
        <f>-G22+H22+I22+K22*(C22*(F22+J22)+(1-C22)*(1-D22)*L23)</f>
        <v/>
      </c>
      <c r="M22" s="10">
        <f>MIN(1,C22*Inputs!$C$30)</f>
        <v/>
      </c>
      <c r="N22" s="9">
        <f>-G22+H22+I22+(1/(1+Inputs!$C$31))*(M22*(F22+J22)+(1-M22)*N23)</f>
        <v/>
      </c>
      <c r="O22" s="9">
        <f>IF(A22=0,0,MAX(0,N22))</f>
        <v/>
      </c>
      <c r="P22" s="9">
        <f>(O22+G22-H22-I22)*(1+Inputs!$C$32)-C22*(F22+J22)-(1-C22)*(1-D22)*O23</f>
        <v/>
      </c>
      <c r="Q22" s="9">
        <f>E22*P22</f>
        <v/>
      </c>
      <c r="R22" s="10">
        <f>(1+Inputs!$C$33)^-(A22+1)</f>
        <v/>
      </c>
      <c r="S22" s="9">
        <f>Q22*R22</f>
        <v/>
      </c>
      <c r="T22" s="9">
        <f>SUM(S$8:S22)</f>
        <v/>
      </c>
      <c r="U22" s="9">
        <f>IF(T22&gt;=0,A22+1,999)</f>
        <v/>
      </c>
      <c r="V22" s="9">
        <f>E22*G22*(1+Inputs!$C$33)^-A22</f>
        <v/>
      </c>
      <c r="W22" s="9">
        <f>-G22+H22+I22+K22*(MIN(1,C22*(1+Inputs!$C$36))*(F22+J22)+(1-MIN(1,C22*(1+Inputs!$C$36)))*(1-D22)*W23)</f>
        <v/>
      </c>
      <c r="X22" s="9">
        <f>-G22+H22+I22+K22*(C22*(F22+J22)+(1-C22)*(1-MIN(1,Inputs!$C$37*D22))*X23)</f>
        <v/>
      </c>
      <c r="Y22" s="9">
        <f>-G22+H22+(IF(A22=0,Inputs!$C$24,0)+(Inputs!$C$25+Inputs!$C$26)*(1+Inputs!$C$28+Inputs!$C$40)^A22)*(1+Inputs!$C$39)+K22*(C22*(F22+Inputs!$C$27*(1+Inputs!$C$39)*(1+Inputs!$C$28+Inputs!$C$40)^A22)+(1-C22)*(1-D22)*Y23)</f>
        <v/>
      </c>
    </row>
    <row r="23">
      <c r="A23" s="9" t="n">
        <v>15</v>
      </c>
      <c r="B23" s="9">
        <f>Inputs!$C$4+A23</f>
        <v/>
      </c>
      <c r="C23" s="10">
        <f>MIN(1,Inputs!$C$11*INDEX(CMI_TMN00!$B$3:$G$106,MATCH(B23,CMI_TMN00!$A$3:$A$106,0),MIN(A23,5)+1))</f>
        <v/>
      </c>
      <c r="D23" s="10">
        <f>IF(A23=Inputs!$C$35-1,0,MIN(1,Inputs!$C$23*IF(A23&lt;5,INDEX(Inputs!$C$17:$C$21,A23+1),Inputs!$C$22)))</f>
        <v/>
      </c>
      <c r="E23" s="10">
        <f>E22*(1-C22)*(1-D22)</f>
        <v/>
      </c>
      <c r="F23" s="9">
        <f>IF(Inputs!$C$3="MP",Inputs!$C$7*(1-(1/(1+Inputs!$C$8))^(Inputs!$C$35-A23))/(1-(1/(1+Inputs!$C$8))^Inputs!$C$35),Inputs!$C$7)</f>
        <v/>
      </c>
      <c r="G23" s="9">
        <f>$C$2</f>
        <v/>
      </c>
      <c r="H23" s="9">
        <f>IF(A23=0,Inputs!$C$29*G23,0)</f>
        <v/>
      </c>
      <c r="I23" s="9">
        <f>IF(A23=0,Inputs!$C$24,0)+(Inputs!$C$25+Inputs!$C$26)*(1+Inputs!$C$28)^A23</f>
        <v/>
      </c>
      <c r="J23" s="9">
        <f>Inputs!$C$27*(1+Inputs!$C$28)^A23</f>
        <v/>
      </c>
      <c r="K23" s="10">
        <f>1/(1+Inputs!$C$34)</f>
        <v/>
      </c>
      <c r="L23" s="9">
        <f>-G23+H23+I23+K23*(C23*(F23+J23)+(1-C23)*(1-D23)*L24)</f>
        <v/>
      </c>
      <c r="M23" s="10">
        <f>MIN(1,C23*Inputs!$C$30)</f>
        <v/>
      </c>
      <c r="N23" s="9">
        <f>-G23+H23+I23+(1/(1+Inputs!$C$31))*(M23*(F23+J23)+(1-M23)*N24)</f>
        <v/>
      </c>
      <c r="O23" s="9">
        <f>IF(A23=0,0,MAX(0,N23))</f>
        <v/>
      </c>
      <c r="P23" s="9">
        <f>(O23+G23-H23-I23)*(1+Inputs!$C$32)-C23*(F23+J23)-(1-C23)*(1-D23)*O24</f>
        <v/>
      </c>
      <c r="Q23" s="9">
        <f>E23*P23</f>
        <v/>
      </c>
      <c r="R23" s="10">
        <f>(1+Inputs!$C$33)^-(A23+1)</f>
        <v/>
      </c>
      <c r="S23" s="9">
        <f>Q23*R23</f>
        <v/>
      </c>
      <c r="T23" s="9">
        <f>SUM(S$8:S23)</f>
        <v/>
      </c>
      <c r="U23" s="9">
        <f>IF(T23&gt;=0,A23+1,999)</f>
        <v/>
      </c>
      <c r="V23" s="9">
        <f>E23*G23*(1+Inputs!$C$33)^-A23</f>
        <v/>
      </c>
      <c r="W23" s="9">
        <f>-G23+H23+I23+K23*(MIN(1,C23*(1+Inputs!$C$36))*(F23+J23)+(1-MIN(1,C23*(1+Inputs!$C$36)))*(1-D23)*W24)</f>
        <v/>
      </c>
      <c r="X23" s="9">
        <f>-G23+H23+I23+K23*(C23*(F23+J23)+(1-C23)*(1-MIN(1,Inputs!$C$37*D23))*X24)</f>
        <v/>
      </c>
      <c r="Y23" s="9">
        <f>-G23+H23+(IF(A23=0,Inputs!$C$24,0)+(Inputs!$C$25+Inputs!$C$26)*(1+Inputs!$C$28+Inputs!$C$40)^A23)*(1+Inputs!$C$39)+K23*(C23*(F23+Inputs!$C$27*(1+Inputs!$C$39)*(1+Inputs!$C$28+Inputs!$C$40)^A23)+(1-C23)*(1-D23)*Y24)</f>
        <v/>
      </c>
    </row>
    <row r="24">
      <c r="A24" s="9" t="n">
        <v>16</v>
      </c>
      <c r="B24" s="9">
        <f>Inputs!$C$4+A24</f>
        <v/>
      </c>
      <c r="C24" s="10">
        <f>MIN(1,Inputs!$C$11*INDEX(CMI_TMN00!$B$3:$G$106,MATCH(B24,CMI_TMN00!$A$3:$A$106,0),MIN(A24,5)+1))</f>
        <v/>
      </c>
      <c r="D24" s="10">
        <f>IF(A24=Inputs!$C$35-1,0,MIN(1,Inputs!$C$23*IF(A24&lt;5,INDEX(Inputs!$C$17:$C$21,A24+1),Inputs!$C$22)))</f>
        <v/>
      </c>
      <c r="E24" s="10">
        <f>E23*(1-C23)*(1-D23)</f>
        <v/>
      </c>
      <c r="F24" s="9">
        <f>IF(Inputs!$C$3="MP",Inputs!$C$7*(1-(1/(1+Inputs!$C$8))^(Inputs!$C$35-A24))/(1-(1/(1+Inputs!$C$8))^Inputs!$C$35),Inputs!$C$7)</f>
        <v/>
      </c>
      <c r="G24" s="9">
        <f>$C$2</f>
        <v/>
      </c>
      <c r="H24" s="9">
        <f>IF(A24=0,Inputs!$C$29*G24,0)</f>
        <v/>
      </c>
      <c r="I24" s="9">
        <f>IF(A24=0,Inputs!$C$24,0)+(Inputs!$C$25+Inputs!$C$26)*(1+Inputs!$C$28)^A24</f>
        <v/>
      </c>
      <c r="J24" s="9">
        <f>Inputs!$C$27*(1+Inputs!$C$28)^A24</f>
        <v/>
      </c>
      <c r="K24" s="10">
        <f>1/(1+Inputs!$C$34)</f>
        <v/>
      </c>
      <c r="L24" s="9">
        <f>-G24+H24+I24+K24*(C24*(F24+J24)+(1-C24)*(1-D24)*L25)</f>
        <v/>
      </c>
      <c r="M24" s="10">
        <f>MIN(1,C24*Inputs!$C$30)</f>
        <v/>
      </c>
      <c r="N24" s="9">
        <f>-G24+H24+I24+(1/(1+Inputs!$C$31))*(M24*(F24+J24)+(1-M24)*N25)</f>
        <v/>
      </c>
      <c r="O24" s="9">
        <f>IF(A24=0,0,MAX(0,N24))</f>
        <v/>
      </c>
      <c r="P24" s="9">
        <f>(O24+G24-H24-I24)*(1+Inputs!$C$32)-C24*(F24+J24)-(1-C24)*(1-D24)*O25</f>
        <v/>
      </c>
      <c r="Q24" s="9">
        <f>E24*P24</f>
        <v/>
      </c>
      <c r="R24" s="10">
        <f>(1+Inputs!$C$33)^-(A24+1)</f>
        <v/>
      </c>
      <c r="S24" s="9">
        <f>Q24*R24</f>
        <v/>
      </c>
      <c r="T24" s="9">
        <f>SUM(S$8:S24)</f>
        <v/>
      </c>
      <c r="U24" s="9">
        <f>IF(T24&gt;=0,A24+1,999)</f>
        <v/>
      </c>
      <c r="V24" s="9">
        <f>E24*G24*(1+Inputs!$C$33)^-A24</f>
        <v/>
      </c>
      <c r="W24" s="9">
        <f>-G24+H24+I24+K24*(MIN(1,C24*(1+Inputs!$C$36))*(F24+J24)+(1-MIN(1,C24*(1+Inputs!$C$36)))*(1-D24)*W25)</f>
        <v/>
      </c>
      <c r="X24" s="9">
        <f>-G24+H24+I24+K24*(C24*(F24+J24)+(1-C24)*(1-MIN(1,Inputs!$C$37*D24))*X25)</f>
        <v/>
      </c>
      <c r="Y24" s="9">
        <f>-G24+H24+(IF(A24=0,Inputs!$C$24,0)+(Inputs!$C$25+Inputs!$C$26)*(1+Inputs!$C$28+Inputs!$C$40)^A24)*(1+Inputs!$C$39)+K24*(C24*(F24+Inputs!$C$27*(1+Inputs!$C$39)*(1+Inputs!$C$28+Inputs!$C$40)^A24)+(1-C24)*(1-D24)*Y25)</f>
        <v/>
      </c>
    </row>
    <row r="25">
      <c r="A25" s="9" t="n">
        <v>17</v>
      </c>
      <c r="B25" s="9">
        <f>Inputs!$C$4+A25</f>
        <v/>
      </c>
      <c r="C25" s="10">
        <f>MIN(1,Inputs!$C$11*INDEX(CMI_TMN00!$B$3:$G$106,MATCH(B25,CMI_TMN00!$A$3:$A$106,0),MIN(A25,5)+1))</f>
        <v/>
      </c>
      <c r="D25" s="10">
        <f>IF(A25=Inputs!$C$35-1,0,MIN(1,Inputs!$C$23*IF(A25&lt;5,INDEX(Inputs!$C$17:$C$21,A25+1),Inputs!$C$22)))</f>
        <v/>
      </c>
      <c r="E25" s="10">
        <f>E24*(1-C24)*(1-D24)</f>
        <v/>
      </c>
      <c r="F25" s="9">
        <f>IF(Inputs!$C$3="MP",Inputs!$C$7*(1-(1/(1+Inputs!$C$8))^(Inputs!$C$35-A25))/(1-(1/(1+Inputs!$C$8))^Inputs!$C$35),Inputs!$C$7)</f>
        <v/>
      </c>
      <c r="G25" s="9">
        <f>$C$2</f>
        <v/>
      </c>
      <c r="H25" s="9">
        <f>IF(A25=0,Inputs!$C$29*G25,0)</f>
        <v/>
      </c>
      <c r="I25" s="9">
        <f>IF(A25=0,Inputs!$C$24,0)+(Inputs!$C$25+Inputs!$C$26)*(1+Inputs!$C$28)^A25</f>
        <v/>
      </c>
      <c r="J25" s="9">
        <f>Inputs!$C$27*(1+Inputs!$C$28)^A25</f>
        <v/>
      </c>
      <c r="K25" s="10">
        <f>1/(1+Inputs!$C$34)</f>
        <v/>
      </c>
      <c r="L25" s="9">
        <f>-G25+H25+I25+K25*(C25*(F25+J25)+(1-C25)*(1-D25)*L26)</f>
        <v/>
      </c>
      <c r="M25" s="10">
        <f>MIN(1,C25*Inputs!$C$30)</f>
        <v/>
      </c>
      <c r="N25" s="9">
        <f>-G25+H25+I25+(1/(1+Inputs!$C$31))*(M25*(F25+J25)+(1-M25)*N26)</f>
        <v/>
      </c>
      <c r="O25" s="9">
        <f>IF(A25=0,0,MAX(0,N25))</f>
        <v/>
      </c>
      <c r="P25" s="9">
        <f>(O25+G25-H25-I25)*(1+Inputs!$C$32)-C25*(F25+J25)-(1-C25)*(1-D25)*O26</f>
        <v/>
      </c>
      <c r="Q25" s="9">
        <f>E25*P25</f>
        <v/>
      </c>
      <c r="R25" s="10">
        <f>(1+Inputs!$C$33)^-(A25+1)</f>
        <v/>
      </c>
      <c r="S25" s="9">
        <f>Q25*R25</f>
        <v/>
      </c>
      <c r="T25" s="9">
        <f>SUM(S$8:S25)</f>
        <v/>
      </c>
      <c r="U25" s="9">
        <f>IF(T25&gt;=0,A25+1,999)</f>
        <v/>
      </c>
      <c r="V25" s="9">
        <f>E25*G25*(1+Inputs!$C$33)^-A25</f>
        <v/>
      </c>
      <c r="W25" s="9">
        <f>-G25+H25+I25+K25*(MIN(1,C25*(1+Inputs!$C$36))*(F25+J25)+(1-MIN(1,C25*(1+Inputs!$C$36)))*(1-D25)*W26)</f>
        <v/>
      </c>
      <c r="X25" s="9">
        <f>-G25+H25+I25+K25*(C25*(F25+J25)+(1-C25)*(1-MIN(1,Inputs!$C$37*D25))*X26)</f>
        <v/>
      </c>
      <c r="Y25" s="9">
        <f>-G25+H25+(IF(A25=0,Inputs!$C$24,0)+(Inputs!$C$25+Inputs!$C$26)*(1+Inputs!$C$28+Inputs!$C$40)^A25)*(1+Inputs!$C$39)+K25*(C25*(F25+Inputs!$C$27*(1+Inputs!$C$39)*(1+Inputs!$C$28+Inputs!$C$40)^A25)+(1-C25)*(1-D25)*Y26)</f>
        <v/>
      </c>
    </row>
    <row r="26">
      <c r="A26" s="9" t="n">
        <v>18</v>
      </c>
      <c r="B26" s="9">
        <f>Inputs!$C$4+A26</f>
        <v/>
      </c>
      <c r="C26" s="10">
        <f>MIN(1,Inputs!$C$11*INDEX(CMI_TMN00!$B$3:$G$106,MATCH(B26,CMI_TMN00!$A$3:$A$106,0),MIN(A26,5)+1))</f>
        <v/>
      </c>
      <c r="D26" s="10">
        <f>IF(A26=Inputs!$C$35-1,0,MIN(1,Inputs!$C$23*IF(A26&lt;5,INDEX(Inputs!$C$17:$C$21,A26+1),Inputs!$C$22)))</f>
        <v/>
      </c>
      <c r="E26" s="10">
        <f>E25*(1-C25)*(1-D25)</f>
        <v/>
      </c>
      <c r="F26" s="9">
        <f>IF(Inputs!$C$3="MP",Inputs!$C$7*(1-(1/(1+Inputs!$C$8))^(Inputs!$C$35-A26))/(1-(1/(1+Inputs!$C$8))^Inputs!$C$35),Inputs!$C$7)</f>
        <v/>
      </c>
      <c r="G26" s="9">
        <f>$C$2</f>
        <v/>
      </c>
      <c r="H26" s="9">
        <f>IF(A26=0,Inputs!$C$29*G26,0)</f>
        <v/>
      </c>
      <c r="I26" s="9">
        <f>IF(A26=0,Inputs!$C$24,0)+(Inputs!$C$25+Inputs!$C$26)*(1+Inputs!$C$28)^A26</f>
        <v/>
      </c>
      <c r="J26" s="9">
        <f>Inputs!$C$27*(1+Inputs!$C$28)^A26</f>
        <v/>
      </c>
      <c r="K26" s="10">
        <f>1/(1+Inputs!$C$34)</f>
        <v/>
      </c>
      <c r="L26" s="9">
        <f>-G26+H26+I26+K26*(C26*(F26+J26)+(1-C26)*(1-D26)*L27)</f>
        <v/>
      </c>
      <c r="M26" s="10">
        <f>MIN(1,C26*Inputs!$C$30)</f>
        <v/>
      </c>
      <c r="N26" s="9">
        <f>-G26+H26+I26+(1/(1+Inputs!$C$31))*(M26*(F26+J26)+(1-M26)*N27)</f>
        <v/>
      </c>
      <c r="O26" s="9">
        <f>IF(A26=0,0,MAX(0,N26))</f>
        <v/>
      </c>
      <c r="P26" s="9">
        <f>(O26+G26-H26-I26)*(1+Inputs!$C$32)-C26*(F26+J26)-(1-C26)*(1-D26)*O27</f>
        <v/>
      </c>
      <c r="Q26" s="9">
        <f>E26*P26</f>
        <v/>
      </c>
      <c r="R26" s="10">
        <f>(1+Inputs!$C$33)^-(A26+1)</f>
        <v/>
      </c>
      <c r="S26" s="9">
        <f>Q26*R26</f>
        <v/>
      </c>
      <c r="T26" s="9">
        <f>SUM(S$8:S26)</f>
        <v/>
      </c>
      <c r="U26" s="9">
        <f>IF(T26&gt;=0,A26+1,999)</f>
        <v/>
      </c>
      <c r="V26" s="9">
        <f>E26*G26*(1+Inputs!$C$33)^-A26</f>
        <v/>
      </c>
      <c r="W26" s="9">
        <f>-G26+H26+I26+K26*(MIN(1,C26*(1+Inputs!$C$36))*(F26+J26)+(1-MIN(1,C26*(1+Inputs!$C$36)))*(1-D26)*W27)</f>
        <v/>
      </c>
      <c r="X26" s="9">
        <f>-G26+H26+I26+K26*(C26*(F26+J26)+(1-C26)*(1-MIN(1,Inputs!$C$37*D26))*X27)</f>
        <v/>
      </c>
      <c r="Y26" s="9">
        <f>-G26+H26+(IF(A26=0,Inputs!$C$24,0)+(Inputs!$C$25+Inputs!$C$26)*(1+Inputs!$C$28+Inputs!$C$40)^A26)*(1+Inputs!$C$39)+K26*(C26*(F26+Inputs!$C$27*(1+Inputs!$C$39)*(1+Inputs!$C$28+Inputs!$C$40)^A26)+(1-C26)*(1-D26)*Y27)</f>
        <v/>
      </c>
    </row>
    <row r="27">
      <c r="A27" s="9" t="n">
        <v>19</v>
      </c>
      <c r="B27" s="9">
        <f>Inputs!$C$4+A27</f>
        <v/>
      </c>
      <c r="C27" s="10">
        <f>MIN(1,Inputs!$C$11*INDEX(CMI_TMN00!$B$3:$G$106,MATCH(B27,CMI_TMN00!$A$3:$A$106,0),MIN(A27,5)+1))</f>
        <v/>
      </c>
      <c r="D27" s="10">
        <f>IF(A27=Inputs!$C$35-1,0,MIN(1,Inputs!$C$23*IF(A27&lt;5,INDEX(Inputs!$C$17:$C$21,A27+1),Inputs!$C$22)))</f>
        <v/>
      </c>
      <c r="E27" s="10">
        <f>E26*(1-C26)*(1-D26)</f>
        <v/>
      </c>
      <c r="F27" s="9">
        <f>IF(Inputs!$C$3="MP",Inputs!$C$7*(1-(1/(1+Inputs!$C$8))^(Inputs!$C$35-A27))/(1-(1/(1+Inputs!$C$8))^Inputs!$C$35),Inputs!$C$7)</f>
        <v/>
      </c>
      <c r="G27" s="9">
        <f>$C$2</f>
        <v/>
      </c>
      <c r="H27" s="9">
        <f>IF(A27=0,Inputs!$C$29*G27,0)</f>
        <v/>
      </c>
      <c r="I27" s="9">
        <f>IF(A27=0,Inputs!$C$24,0)+(Inputs!$C$25+Inputs!$C$26)*(1+Inputs!$C$28)^A27</f>
        <v/>
      </c>
      <c r="J27" s="9">
        <f>Inputs!$C$27*(1+Inputs!$C$28)^A27</f>
        <v/>
      </c>
      <c r="K27" s="10">
        <f>1/(1+Inputs!$C$34)</f>
        <v/>
      </c>
      <c r="L27" s="9">
        <f>-G27+H27+I27+K27*(C27*(F27+J27)+(1-C27)*(1-D27)*L28)</f>
        <v/>
      </c>
      <c r="M27" s="10">
        <f>MIN(1,C27*Inputs!$C$30)</f>
        <v/>
      </c>
      <c r="N27" s="9">
        <f>-G27+H27+I27+(1/(1+Inputs!$C$31))*(M27*(F27+J27)+(1-M27)*N28)</f>
        <v/>
      </c>
      <c r="O27" s="9">
        <f>IF(A27=0,0,MAX(0,N27))</f>
        <v/>
      </c>
      <c r="P27" s="9">
        <f>(O27+G27-H27-I27)*(1+Inputs!$C$32)-C27*(F27+J27)-(1-C27)*(1-D27)*O28</f>
        <v/>
      </c>
      <c r="Q27" s="9">
        <f>E27*P27</f>
        <v/>
      </c>
      <c r="R27" s="10">
        <f>(1+Inputs!$C$33)^-(A27+1)</f>
        <v/>
      </c>
      <c r="S27" s="9">
        <f>Q27*R27</f>
        <v/>
      </c>
      <c r="T27" s="9">
        <f>SUM(S$8:S27)</f>
        <v/>
      </c>
      <c r="U27" s="9">
        <f>IF(T27&gt;=0,A27+1,999)</f>
        <v/>
      </c>
      <c r="V27" s="9">
        <f>E27*G27*(1+Inputs!$C$33)^-A27</f>
        <v/>
      </c>
      <c r="W27" s="9">
        <f>-G27+H27+I27+K27*(MIN(1,C27*(1+Inputs!$C$36))*(F27+J27)+(1-MIN(1,C27*(1+Inputs!$C$36)))*(1-D27)*W28)</f>
        <v/>
      </c>
      <c r="X27" s="9">
        <f>-G27+H27+I27+K27*(C27*(F27+J27)+(1-C27)*(1-MIN(1,Inputs!$C$37*D27))*X28)</f>
        <v/>
      </c>
      <c r="Y27" s="9">
        <f>-G27+H27+(IF(A27=0,Inputs!$C$24,0)+(Inputs!$C$25+Inputs!$C$26)*(1+Inputs!$C$28+Inputs!$C$40)^A27)*(1+Inputs!$C$39)+K27*(C27*(F27+Inputs!$C$27*(1+Inputs!$C$39)*(1+Inputs!$C$28+Inputs!$C$40)^A27)+(1-C27)*(1-D27)*Y28)</f>
        <v/>
      </c>
    </row>
    <row r="28">
      <c r="A28" s="9" t="n">
        <v>20</v>
      </c>
      <c r="B28" s="9">
        <f>Inputs!$C$4+A28</f>
        <v/>
      </c>
      <c r="E28" s="10">
        <f>E27*(1-C27)*(1-D27)</f>
        <v/>
      </c>
      <c r="L28" s="9" t="n">
        <v>0</v>
      </c>
      <c r="N28" s="9" t="n">
        <v>0</v>
      </c>
      <c r="O28" s="9" t="n">
        <v>0</v>
      </c>
      <c r="W28" s="9" t="n">
        <v>0</v>
      </c>
      <c r="X28" s="9" t="n">
        <v>0</v>
      </c>
      <c r="Y28" s="9" t="n">
        <v>0</v>
      </c>
    </row>
    <row r="30">
      <c r="A30" s="5" t="inlineStr">
        <is>
          <t>Timing (SPEC §2.2): premium, commission and expenses at the start of each policy year; claims and claim expenses at the end; lapses at the end, after deaths. V is computed backwards from V_20 =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CMI 00 series, TMN00 (temporary assurances, male non-smokers), q[x−t]+t by attained age. Source: IFoA.</t>
        </is>
      </c>
    </row>
    <row r="2">
      <c r="A2" s="2" t="inlineStr">
        <is>
          <t>Attained age</t>
        </is>
      </c>
      <c r="B2" s="2" t="inlineStr">
        <is>
          <t>Dur 0</t>
        </is>
      </c>
      <c r="C2" s="2" t="inlineStr">
        <is>
          <t>Dur 1</t>
        </is>
      </c>
      <c r="D2" s="2" t="inlineStr">
        <is>
          <t>Dur 2</t>
        </is>
      </c>
      <c r="E2" s="2" t="inlineStr">
        <is>
          <t>Dur 3</t>
        </is>
      </c>
      <c r="F2" s="2" t="inlineStr">
        <is>
          <t>Dur 4</t>
        </is>
      </c>
      <c r="G2" s="2" t="inlineStr">
        <is>
          <t>Dur 5+</t>
        </is>
      </c>
    </row>
    <row r="3">
      <c r="A3" s="3" t="n">
        <v>17</v>
      </c>
      <c r="B3" s="4" t="n">
        <v>0.000159</v>
      </c>
      <c r="C3" s="4" t="n">
        <v>0.000206</v>
      </c>
      <c r="D3" s="4" t="n">
        <v>0.000242</v>
      </c>
      <c r="E3" s="4" t="n">
        <v>0.000277</v>
      </c>
      <c r="F3" s="4" t="n">
        <v>0.000313</v>
      </c>
      <c r="G3" s="4" t="n">
        <v>0.000363</v>
      </c>
    </row>
    <row r="4">
      <c r="A4" s="3" t="n">
        <v>18</v>
      </c>
      <c r="B4" s="4" t="n">
        <v>0.00016</v>
      </c>
      <c r="C4" s="4" t="n">
        <v>0.000207</v>
      </c>
      <c r="D4" s="4" t="n">
        <v>0.000243</v>
      </c>
      <c r="E4" s="4" t="n">
        <v>0.000279</v>
      </c>
      <c r="F4" s="4" t="n">
        <v>0.000314</v>
      </c>
      <c r="G4" s="4" t="n">
        <v>0.000365</v>
      </c>
    </row>
    <row r="5">
      <c r="A5" s="3" t="n">
        <v>19</v>
      </c>
      <c r="B5" s="4" t="n">
        <v>0.000161</v>
      </c>
      <c r="C5" s="4" t="n">
        <v>0.000209</v>
      </c>
      <c r="D5" s="4" t="n">
        <v>0.000245</v>
      </c>
      <c r="E5" s="4" t="n">
        <v>0.000281</v>
      </c>
      <c r="F5" s="4" t="n">
        <v>0.000317</v>
      </c>
      <c r="G5" s="4" t="n">
        <v>0.000368</v>
      </c>
    </row>
    <row r="6">
      <c r="A6" s="3" t="n">
        <v>20</v>
      </c>
      <c r="B6" s="4" t="n">
        <v>0.000163</v>
      </c>
      <c r="C6" s="4" t="n">
        <v>0.000211</v>
      </c>
      <c r="D6" s="4" t="n">
        <v>0.000248</v>
      </c>
      <c r="E6" s="4" t="n">
        <v>0.000284</v>
      </c>
      <c r="F6" s="4" t="n">
        <v>0.00032</v>
      </c>
      <c r="G6" s="4" t="n">
        <v>0.000372</v>
      </c>
    </row>
    <row r="7">
      <c r="A7" s="3" t="n">
        <v>21</v>
      </c>
      <c r="B7" s="4" t="n">
        <v>0.000164</v>
      </c>
      <c r="C7" s="4" t="n">
        <v>0.000213</v>
      </c>
      <c r="D7" s="4" t="n">
        <v>0.00025</v>
      </c>
      <c r="E7" s="4" t="n">
        <v>0.000286</v>
      </c>
      <c r="F7" s="4" t="n">
        <v>0.000323</v>
      </c>
      <c r="G7" s="4" t="n">
        <v>0.000375</v>
      </c>
    </row>
    <row r="8">
      <c r="A8" s="3" t="n">
        <v>22</v>
      </c>
      <c r="B8" s="4" t="n">
        <v>0.000166</v>
      </c>
      <c r="C8" s="4" t="n">
        <v>0.000216</v>
      </c>
      <c r="D8" s="4" t="n">
        <v>0.000253</v>
      </c>
      <c r="E8" s="4" t="n">
        <v>0.00029</v>
      </c>
      <c r="F8" s="4" t="n">
        <v>0.000327</v>
      </c>
      <c r="G8" s="4" t="n">
        <v>0.00038</v>
      </c>
    </row>
    <row r="9">
      <c r="A9" s="3" t="n">
        <v>23</v>
      </c>
      <c r="B9" s="4" t="n">
        <v>0.000168</v>
      </c>
      <c r="C9" s="4" t="n">
        <v>0.000218</v>
      </c>
      <c r="D9" s="4" t="n">
        <v>0.000256</v>
      </c>
      <c r="E9" s="4" t="n">
        <v>0.000293</v>
      </c>
      <c r="F9" s="4" t="n">
        <v>0.000331</v>
      </c>
      <c r="G9" s="4" t="n">
        <v>0.000384</v>
      </c>
    </row>
    <row r="10">
      <c r="A10" s="3" t="n">
        <v>24</v>
      </c>
      <c r="B10" s="4" t="n">
        <v>0.00017</v>
      </c>
      <c r="C10" s="4" t="n">
        <v>0.000221</v>
      </c>
      <c r="D10" s="4" t="n">
        <v>0.00026</v>
      </c>
      <c r="E10" s="4" t="n">
        <v>0.000298</v>
      </c>
      <c r="F10" s="4" t="n">
        <v>0.000336</v>
      </c>
      <c r="G10" s="4" t="n">
        <v>0.00039</v>
      </c>
    </row>
    <row r="11">
      <c r="A11" s="3" t="n">
        <v>25</v>
      </c>
      <c r="B11" s="4" t="n">
        <v>0.000173</v>
      </c>
      <c r="C11" s="4" t="n">
        <v>0.000225</v>
      </c>
      <c r="D11" s="4" t="n">
        <v>0.000264</v>
      </c>
      <c r="E11" s="4" t="n">
        <v>0.000302</v>
      </c>
      <c r="F11" s="4" t="n">
        <v>0.000341</v>
      </c>
      <c r="G11" s="4" t="n">
        <v>0.000396</v>
      </c>
    </row>
    <row r="12">
      <c r="A12" s="3" t="n">
        <v>26</v>
      </c>
      <c r="B12" s="4" t="n">
        <v>0.000176</v>
      </c>
      <c r="C12" s="4" t="n">
        <v>0.000229</v>
      </c>
      <c r="D12" s="4" t="n">
        <v>0.000268</v>
      </c>
      <c r="E12" s="4" t="n">
        <v>0.000308</v>
      </c>
      <c r="F12" s="4" t="n">
        <v>0.000347</v>
      </c>
      <c r="G12" s="4" t="n">
        <v>0.000403</v>
      </c>
    </row>
    <row r="13">
      <c r="A13" s="3" t="n">
        <v>27</v>
      </c>
      <c r="B13" s="4" t="n">
        <v>0.00018</v>
      </c>
      <c r="C13" s="4" t="n">
        <v>0.000233</v>
      </c>
      <c r="D13" s="4" t="n">
        <v>0.000274</v>
      </c>
      <c r="E13" s="4" t="n">
        <v>0.000314</v>
      </c>
      <c r="F13" s="4" t="n">
        <v>0.000354</v>
      </c>
      <c r="G13" s="4" t="n">
        <v>0.000411</v>
      </c>
    </row>
    <row r="14">
      <c r="A14" s="3" t="n">
        <v>28</v>
      </c>
      <c r="B14" s="4" t="n">
        <v>0.000184</v>
      </c>
      <c r="C14" s="4" t="n">
        <v>0.000239</v>
      </c>
      <c r="D14" s="4" t="n">
        <v>0.00028</v>
      </c>
      <c r="E14" s="4" t="n">
        <v>0.000321</v>
      </c>
      <c r="F14" s="4" t="n">
        <v>0.000363</v>
      </c>
      <c r="G14" s="4" t="n">
        <v>0.000421</v>
      </c>
    </row>
    <row r="15">
      <c r="A15" s="3" t="n">
        <v>29</v>
      </c>
      <c r="B15" s="4" t="n">
        <v>0.000189</v>
      </c>
      <c r="C15" s="4" t="n">
        <v>0.000245</v>
      </c>
      <c r="D15" s="4" t="n">
        <v>0.000287</v>
      </c>
      <c r="E15" s="4" t="n">
        <v>0.00033</v>
      </c>
      <c r="F15" s="4" t="n">
        <v>0.000372</v>
      </c>
      <c r="G15" s="4" t="n">
        <v>0.000431</v>
      </c>
    </row>
    <row r="16">
      <c r="A16" s="3" t="n">
        <v>30</v>
      </c>
      <c r="B16" s="4" t="n">
        <v>0.000196</v>
      </c>
      <c r="C16" s="4" t="n">
        <v>0.000254</v>
      </c>
      <c r="D16" s="4" t="n">
        <v>0.000297</v>
      </c>
      <c r="E16" s="4" t="n">
        <v>0.000341</v>
      </c>
      <c r="F16" s="4" t="n">
        <v>0.000384</v>
      </c>
      <c r="G16" s="4" t="n">
        <v>0.000443</v>
      </c>
    </row>
    <row r="17">
      <c r="A17" s="3" t="n">
        <v>31</v>
      </c>
      <c r="B17" s="4" t="n">
        <v>0.000206</v>
      </c>
      <c r="C17" s="4" t="n">
        <v>0.000265</v>
      </c>
      <c r="D17" s="4" t="n">
        <v>0.00031</v>
      </c>
      <c r="E17" s="4" t="n">
        <v>0.000354</v>
      </c>
      <c r="F17" s="4" t="n">
        <v>0.000399</v>
      </c>
      <c r="G17" s="4" t="n">
        <v>0.000456</v>
      </c>
    </row>
    <row r="18">
      <c r="A18" s="3" t="n">
        <v>32</v>
      </c>
      <c r="B18" s="4" t="n">
        <v>0.000217</v>
      </c>
      <c r="C18" s="4" t="n">
        <v>0.000279</v>
      </c>
      <c r="D18" s="4" t="n">
        <v>0.000325</v>
      </c>
      <c r="E18" s="4" t="n">
        <v>0.000371</v>
      </c>
      <c r="F18" s="4" t="n">
        <v>0.000417</v>
      </c>
      <c r="G18" s="4" t="n">
        <v>0.000471</v>
      </c>
    </row>
    <row r="19">
      <c r="A19" s="3" t="n">
        <v>33</v>
      </c>
      <c r="B19" s="4" t="n">
        <v>0.000231</v>
      </c>
      <c r="C19" s="4" t="n">
        <v>0.000295</v>
      </c>
      <c r="D19" s="4" t="n">
        <v>0.000343</v>
      </c>
      <c r="E19" s="4" t="n">
        <v>0.000391</v>
      </c>
      <c r="F19" s="4" t="n">
        <v>0.000439</v>
      </c>
      <c r="G19" s="4" t="n">
        <v>0.000489</v>
      </c>
    </row>
    <row r="20">
      <c r="A20" s="3" t="n">
        <v>34</v>
      </c>
      <c r="B20" s="4" t="n">
        <v>0.000245</v>
      </c>
      <c r="C20" s="4" t="n">
        <v>0.000311</v>
      </c>
      <c r="D20" s="4" t="n">
        <v>0.000361</v>
      </c>
      <c r="E20" s="4" t="n">
        <v>0.000411</v>
      </c>
      <c r="F20" s="4" t="n">
        <v>0.000461</v>
      </c>
      <c r="G20" s="4" t="n">
        <v>0.000508</v>
      </c>
    </row>
    <row r="21">
      <c r="A21" s="3" t="n">
        <v>35</v>
      </c>
      <c r="B21" s="4" t="n">
        <v>0.000261</v>
      </c>
      <c r="C21" s="4" t="n">
        <v>0.00033</v>
      </c>
      <c r="D21" s="4" t="n">
        <v>0.000382</v>
      </c>
      <c r="E21" s="4" t="n">
        <v>0.000434</v>
      </c>
      <c r="F21" s="4" t="n">
        <v>0.000486</v>
      </c>
      <c r="G21" s="4" t="n">
        <v>0.000531</v>
      </c>
    </row>
    <row r="22">
      <c r="A22" s="3" t="n">
        <v>36</v>
      </c>
      <c r="B22" s="4" t="n">
        <v>0.000278</v>
      </c>
      <c r="C22" s="4" t="n">
        <v>0.00035</v>
      </c>
      <c r="D22" s="4" t="n">
        <v>0.000405</v>
      </c>
      <c r="E22" s="4" t="n">
        <v>0.000459</v>
      </c>
      <c r="F22" s="4" t="n">
        <v>0.000514</v>
      </c>
      <c r="G22" s="4" t="n">
        <v>0.000556</v>
      </c>
    </row>
    <row r="23">
      <c r="A23" s="3" t="n">
        <v>37</v>
      </c>
      <c r="B23" s="4" t="n">
        <v>0.000297</v>
      </c>
      <c r="C23" s="4" t="n">
        <v>0.000373</v>
      </c>
      <c r="D23" s="4" t="n">
        <v>0.00043</v>
      </c>
      <c r="E23" s="4" t="n">
        <v>0.000488</v>
      </c>
      <c r="F23" s="4" t="n">
        <v>0.000545</v>
      </c>
      <c r="G23" s="4" t="n">
        <v>0.000585</v>
      </c>
    </row>
    <row r="24">
      <c r="A24" s="3" t="n">
        <v>38</v>
      </c>
      <c r="B24" s="4" t="n">
        <v>0.000317</v>
      </c>
      <c r="C24" s="4" t="n">
        <v>0.000397</v>
      </c>
      <c r="D24" s="4" t="n">
        <v>0.000458</v>
      </c>
      <c r="E24" s="4" t="n">
        <v>0.000518</v>
      </c>
      <c r="F24" s="4" t="n">
        <v>0.000579</v>
      </c>
      <c r="G24" s="4" t="n">
        <v>0.000617</v>
      </c>
    </row>
    <row r="25">
      <c r="A25" s="3" t="n">
        <v>39</v>
      </c>
      <c r="B25" s="4" t="n">
        <v>0.000339</v>
      </c>
      <c r="C25" s="4" t="n">
        <v>0.000424</v>
      </c>
      <c r="D25" s="4" t="n">
        <v>0.000489</v>
      </c>
      <c r="E25" s="4" t="n">
        <v>0.000553</v>
      </c>
      <c r="F25" s="4" t="n">
        <v>0.000617</v>
      </c>
      <c r="G25" s="4" t="n">
        <v>0.000654</v>
      </c>
    </row>
    <row r="26">
      <c r="A26" s="3" t="n">
        <v>40</v>
      </c>
      <c r="B26" s="4" t="n">
        <v>0.000364</v>
      </c>
      <c r="C26" s="4" t="n">
        <v>0.000455</v>
      </c>
      <c r="D26" s="4" t="n">
        <v>0.000523</v>
      </c>
      <c r="E26" s="4" t="n">
        <v>0.0005910000000000001</v>
      </c>
      <c r="F26" s="4" t="n">
        <v>0.000659</v>
      </c>
      <c r="G26" s="4" t="n">
        <v>0.000696</v>
      </c>
    </row>
    <row r="27">
      <c r="A27" s="3" t="n">
        <v>41</v>
      </c>
      <c r="B27" s="4" t="n">
        <v>0.000391</v>
      </c>
      <c r="C27" s="4" t="n">
        <v>0.000488</v>
      </c>
      <c r="D27" s="4" t="n">
        <v>0.000561</v>
      </c>
      <c r="E27" s="4" t="n">
        <v>0.000634</v>
      </c>
      <c r="F27" s="4" t="n">
        <v>0.0007069999999999999</v>
      </c>
      <c r="G27" s="4" t="n">
        <v>0.000744</v>
      </c>
    </row>
    <row r="28">
      <c r="A28" s="3" t="n">
        <v>42</v>
      </c>
      <c r="B28" s="4" t="n">
        <v>0.000422</v>
      </c>
      <c r="C28" s="4" t="n">
        <v>0.000526</v>
      </c>
      <c r="D28" s="4" t="n">
        <v>0.000604</v>
      </c>
      <c r="E28" s="4" t="n">
        <v>0.000682</v>
      </c>
      <c r="F28" s="4" t="n">
        <v>0.00076</v>
      </c>
      <c r="G28" s="4" t="n">
        <v>0.000798</v>
      </c>
    </row>
    <row r="29">
      <c r="A29" s="3" t="n">
        <v>43</v>
      </c>
      <c r="B29" s="4" t="n">
        <v>0.000455</v>
      </c>
      <c r="C29" s="4" t="n">
        <v>0.000567</v>
      </c>
      <c r="D29" s="4" t="n">
        <v>0.000652</v>
      </c>
      <c r="E29" s="4" t="n">
        <v>0.000736</v>
      </c>
      <c r="F29" s="4" t="n">
        <v>0.00082</v>
      </c>
      <c r="G29" s="4" t="n">
        <v>0.00086</v>
      </c>
    </row>
    <row r="30">
      <c r="A30" s="3" t="n">
        <v>44</v>
      </c>
      <c r="B30" s="4" t="n">
        <v>0.000492</v>
      </c>
      <c r="C30" s="4" t="n">
        <v>0.000613</v>
      </c>
      <c r="D30" s="4" t="n">
        <v>0.000704</v>
      </c>
      <c r="E30" s="4" t="n">
        <v>0.000795</v>
      </c>
      <c r="F30" s="4" t="n">
        <v>0.000886</v>
      </c>
      <c r="G30" s="4" t="n">
        <v>0.000929</v>
      </c>
    </row>
    <row r="31">
      <c r="A31" s="3" t="n">
        <v>45</v>
      </c>
      <c r="B31" s="4" t="n">
        <v>0.0005330000000000001</v>
      </c>
      <c r="C31" s="4" t="n">
        <v>0.000665</v>
      </c>
      <c r="D31" s="4" t="n">
        <v>0.000763</v>
      </c>
      <c r="E31" s="4" t="n">
        <v>0.000862</v>
      </c>
      <c r="F31" s="4" t="n">
        <v>0.000961</v>
      </c>
      <c r="G31" s="4" t="n">
        <v>0.001008</v>
      </c>
    </row>
    <row r="32">
      <c r="A32" s="3" t="n">
        <v>46</v>
      </c>
      <c r="B32" s="4" t="n">
        <v>0.000579</v>
      </c>
      <c r="C32" s="4" t="n">
        <v>0.000722</v>
      </c>
      <c r="D32" s="4" t="n">
        <v>0.00083</v>
      </c>
      <c r="E32" s="4" t="n">
        <v>0.000937</v>
      </c>
      <c r="F32" s="4" t="n">
        <v>0.001045</v>
      </c>
      <c r="G32" s="4" t="n">
        <v>0.001098</v>
      </c>
    </row>
    <row r="33">
      <c r="A33" s="3" t="n">
        <v>47</v>
      </c>
      <c r="B33" s="4" t="n">
        <v>0.000629</v>
      </c>
      <c r="C33" s="4" t="n">
        <v>0.000786</v>
      </c>
      <c r="D33" s="4" t="n">
        <v>0.000903</v>
      </c>
      <c r="E33" s="4" t="n">
        <v>0.001021</v>
      </c>
      <c r="F33" s="4" t="n">
        <v>0.001139</v>
      </c>
      <c r="G33" s="4" t="n">
        <v>0.0012</v>
      </c>
    </row>
    <row r="34">
      <c r="A34" s="3" t="n">
        <v>48</v>
      </c>
      <c r="B34" s="4" t="n">
        <v>0.000685</v>
      </c>
      <c r="C34" s="4" t="n">
        <v>0.000857</v>
      </c>
      <c r="D34" s="4" t="n">
        <v>0.000985</v>
      </c>
      <c r="E34" s="4" t="n">
        <v>0.001114</v>
      </c>
      <c r="F34" s="4" t="n">
        <v>0.001243</v>
      </c>
      <c r="G34" s="4" t="n">
        <v>0.001315</v>
      </c>
    </row>
    <row r="35">
      <c r="A35" s="3" t="n">
        <v>49</v>
      </c>
      <c r="B35" s="4" t="n">
        <v>0.0007470000000000001</v>
      </c>
      <c r="C35" s="4" t="n">
        <v>0.000936</v>
      </c>
      <c r="D35" s="4" t="n">
        <v>0.001078</v>
      </c>
      <c r="E35" s="4" t="n">
        <v>0.00122</v>
      </c>
      <c r="F35" s="4" t="n">
        <v>0.001362</v>
      </c>
      <c r="G35" s="4" t="n">
        <v>0.001447</v>
      </c>
    </row>
    <row r="36">
      <c r="A36" s="3" t="n">
        <v>50</v>
      </c>
      <c r="B36" s="4" t="n">
        <v>0.000816</v>
      </c>
      <c r="C36" s="4" t="n">
        <v>0.001024</v>
      </c>
      <c r="D36" s="4" t="n">
        <v>0.00118</v>
      </c>
      <c r="E36" s="4" t="n">
        <v>0.001336</v>
      </c>
      <c r="F36" s="4" t="n">
        <v>0.001493</v>
      </c>
      <c r="G36" s="4" t="n">
        <v>0.001595</v>
      </c>
    </row>
    <row r="37">
      <c r="A37" s="3" t="n">
        <v>51</v>
      </c>
      <c r="B37" s="4" t="n">
        <v>0.000892</v>
      </c>
      <c r="C37" s="4" t="n">
        <v>0.001122</v>
      </c>
      <c r="D37" s="4" t="n">
        <v>0.001294</v>
      </c>
      <c r="E37" s="4" t="n">
        <v>0.001467</v>
      </c>
      <c r="F37" s="4" t="n">
        <v>0.00164</v>
      </c>
      <c r="G37" s="4" t="n">
        <v>0.001764</v>
      </c>
    </row>
    <row r="38">
      <c r="A38" s="3" t="n">
        <v>52</v>
      </c>
      <c r="B38" s="4" t="n">
        <v>0.000975</v>
      </c>
      <c r="C38" s="4" t="n">
        <v>0.00123</v>
      </c>
      <c r="D38" s="4" t="n">
        <v>0.001422</v>
      </c>
      <c r="E38" s="4" t="n">
        <v>0.001613</v>
      </c>
      <c r="F38" s="4" t="n">
        <v>0.001805</v>
      </c>
      <c r="G38" s="4" t="n">
        <v>0.001955</v>
      </c>
    </row>
    <row r="39">
      <c r="A39" s="3" t="n">
        <v>53</v>
      </c>
      <c r="B39" s="4" t="n">
        <v>0.001067</v>
      </c>
      <c r="C39" s="4" t="n">
        <v>0.00135</v>
      </c>
      <c r="D39" s="4" t="n">
        <v>0.001563</v>
      </c>
      <c r="E39" s="4" t="n">
        <v>0.001776</v>
      </c>
      <c r="F39" s="4" t="n">
        <v>0.001989</v>
      </c>
      <c r="G39" s="4" t="n">
        <v>0.002172</v>
      </c>
    </row>
    <row r="40">
      <c r="A40" s="3" t="n">
        <v>54</v>
      </c>
      <c r="B40" s="4" t="n">
        <v>0.001169</v>
      </c>
      <c r="C40" s="4" t="n">
        <v>0.001484</v>
      </c>
      <c r="D40" s="4" t="n">
        <v>0.001721</v>
      </c>
      <c r="E40" s="4" t="n">
        <v>0.001958</v>
      </c>
      <c r="F40" s="4" t="n">
        <v>0.002195</v>
      </c>
      <c r="G40" s="4" t="n">
        <v>0.002418</v>
      </c>
    </row>
    <row r="41">
      <c r="A41" s="3" t="n">
        <v>55</v>
      </c>
      <c r="B41" s="4" t="n">
        <v>0.001281</v>
      </c>
      <c r="C41" s="4" t="n">
        <v>0.001632</v>
      </c>
      <c r="D41" s="4" t="n">
        <v>0.001897</v>
      </c>
      <c r="E41" s="4" t="n">
        <v>0.002161</v>
      </c>
      <c r="F41" s="4" t="n">
        <v>0.002425</v>
      </c>
      <c r="G41" s="4" t="n">
        <v>0.002697</v>
      </c>
    </row>
    <row r="42">
      <c r="A42" s="3" t="n">
        <v>56</v>
      </c>
      <c r="B42" s="4" t="n">
        <v>0.001403</v>
      </c>
      <c r="C42" s="4" t="n">
        <v>0.001796</v>
      </c>
      <c r="D42" s="4" t="n">
        <v>0.002092</v>
      </c>
      <c r="E42" s="4" t="n">
        <v>0.002387</v>
      </c>
      <c r="F42" s="4" t="n">
        <v>0.002682</v>
      </c>
      <c r="G42" s="4" t="n">
        <v>0.003013</v>
      </c>
    </row>
    <row r="43">
      <c r="A43" s="3" t="n">
        <v>57</v>
      </c>
      <c r="B43" s="4" t="n">
        <v>0.001538</v>
      </c>
      <c r="C43" s="4" t="n">
        <v>0.001978</v>
      </c>
      <c r="D43" s="4" t="n">
        <v>0.002308</v>
      </c>
      <c r="E43" s="4" t="n">
        <v>0.002639</v>
      </c>
      <c r="F43" s="4" t="n">
        <v>0.002969</v>
      </c>
      <c r="G43" s="4" t="n">
        <v>0.003371</v>
      </c>
    </row>
    <row r="44">
      <c r="A44" s="3" t="n">
        <v>58</v>
      </c>
      <c r="B44" s="4" t="n">
        <v>0.001687</v>
      </c>
      <c r="C44" s="4" t="n">
        <v>0.00218</v>
      </c>
      <c r="D44" s="4" t="n">
        <v>0.00255</v>
      </c>
      <c r="E44" s="4" t="n">
        <v>0.00292</v>
      </c>
      <c r="F44" s="4" t="n">
        <v>0.00329</v>
      </c>
      <c r="G44" s="4" t="n">
        <v>0.003778</v>
      </c>
    </row>
    <row r="45">
      <c r="A45" s="3" t="n">
        <v>59</v>
      </c>
      <c r="B45" s="4" t="n">
        <v>0.00185</v>
      </c>
      <c r="C45" s="4" t="n">
        <v>0.002403</v>
      </c>
      <c r="D45" s="4" t="n">
        <v>0.002818</v>
      </c>
      <c r="E45" s="4" t="n">
        <v>0.003233</v>
      </c>
      <c r="F45" s="4" t="n">
        <v>0.003648</v>
      </c>
      <c r="G45" s="4" t="n">
        <v>0.004238</v>
      </c>
    </row>
    <row r="46">
      <c r="A46" s="3" t="n">
        <v>60</v>
      </c>
      <c r="B46" s="4" t="n">
        <v>0.002029</v>
      </c>
      <c r="C46" s="4" t="n">
        <v>0.00265</v>
      </c>
      <c r="D46" s="4" t="n">
        <v>0.003116</v>
      </c>
      <c r="E46" s="4" t="n">
        <v>0.003582</v>
      </c>
      <c r="F46" s="4" t="n">
        <v>0.004049</v>
      </c>
      <c r="G46" s="4" t="n">
        <v>0.00476</v>
      </c>
    </row>
    <row r="47">
      <c r="A47" s="3" t="n">
        <v>61</v>
      </c>
      <c r="B47" s="4" t="n">
        <v>0.002225</v>
      </c>
      <c r="C47" s="4" t="n">
        <v>0.002923</v>
      </c>
      <c r="D47" s="4" t="n">
        <v>0.003447</v>
      </c>
      <c r="E47" s="4" t="n">
        <v>0.003972</v>
      </c>
      <c r="F47" s="4" t="n">
        <v>0.004496</v>
      </c>
      <c r="G47" s="4" t="n">
        <v>0.005351</v>
      </c>
    </row>
    <row r="48">
      <c r="A48" s="3" t="n">
        <v>62</v>
      </c>
      <c r="B48" s="4" t="n">
        <v>0.002441</v>
      </c>
      <c r="C48" s="4" t="n">
        <v>0.003227</v>
      </c>
      <c r="D48" s="4" t="n">
        <v>0.003817</v>
      </c>
      <c r="E48" s="4" t="n">
        <v>0.004407</v>
      </c>
      <c r="F48" s="4" t="n">
        <v>0.004997</v>
      </c>
      <c r="G48" s="4" t="n">
        <v>0.006021</v>
      </c>
    </row>
    <row r="49">
      <c r="A49" s="3" t="n">
        <v>63</v>
      </c>
      <c r="B49" s="4" t="n">
        <v>0.00268</v>
      </c>
      <c r="C49" s="4" t="n">
        <v>0.003564</v>
      </c>
      <c r="D49" s="4" t="n">
        <v>0.004229</v>
      </c>
      <c r="E49" s="4" t="n">
        <v>0.004893</v>
      </c>
      <c r="F49" s="4" t="n">
        <v>0.005558</v>
      </c>
      <c r="G49" s="4" t="n">
        <v>0.006781</v>
      </c>
    </row>
    <row r="50">
      <c r="A50" s="3" t="n">
        <v>64</v>
      </c>
      <c r="B50" s="4" t="n">
        <v>0.002942</v>
      </c>
      <c r="C50" s="4" t="n">
        <v>0.003939</v>
      </c>
      <c r="D50" s="4" t="n">
        <v>0.004687</v>
      </c>
      <c r="E50" s="4" t="n">
        <v>0.005436</v>
      </c>
      <c r="F50" s="4" t="n">
        <v>0.006184</v>
      </c>
      <c r="G50" s="4" t="n">
        <v>0.00764</v>
      </c>
    </row>
    <row r="51">
      <c r="A51" s="3" t="n">
        <v>65</v>
      </c>
      <c r="B51" s="4" t="n">
        <v>0.003233</v>
      </c>
      <c r="C51" s="4" t="n">
        <v>0.004356</v>
      </c>
      <c r="D51" s="4" t="n">
        <v>0.0052</v>
      </c>
      <c r="E51" s="4" t="n">
        <v>0.006044</v>
      </c>
      <c r="F51" s="4" t="n">
        <v>0.006888</v>
      </c>
      <c r="G51" s="4" t="n">
        <v>0.008614</v>
      </c>
    </row>
    <row r="52">
      <c r="A52" s="3" t="n">
        <v>66</v>
      </c>
      <c r="B52" s="4" t="n">
        <v>0.003556</v>
      </c>
      <c r="C52" s="4" t="n">
        <v>0.004823</v>
      </c>
      <c r="D52" s="4" t="n">
        <v>0.005775</v>
      </c>
      <c r="E52" s="4" t="n">
        <v>0.006727</v>
      </c>
      <c r="F52" s="4" t="n">
        <v>0.007679</v>
      </c>
      <c r="G52" s="4" t="n">
        <v>0.009717</v>
      </c>
    </row>
    <row r="53">
      <c r="A53" s="3" t="n">
        <v>67</v>
      </c>
      <c r="B53" s="4" t="n">
        <v>0.003915</v>
      </c>
      <c r="C53" s="4" t="n">
        <v>0.005345</v>
      </c>
      <c r="D53" s="4" t="n">
        <v>0.006419</v>
      </c>
      <c r="E53" s="4" t="n">
        <v>0.007493</v>
      </c>
      <c r="F53" s="4" t="n">
        <v>0.008567999999999999</v>
      </c>
      <c r="G53" s="4" t="n">
        <v>0.010965</v>
      </c>
    </row>
    <row r="54">
      <c r="A54" s="3" t="n">
        <v>68</v>
      </c>
      <c r="B54" s="4" t="n">
        <v>0.004317</v>
      </c>
      <c r="C54" s="4" t="n">
        <v>0.005931</v>
      </c>
      <c r="D54" s="4" t="n">
        <v>0.007144</v>
      </c>
      <c r="E54" s="4" t="n">
        <v>0.008357</v>
      </c>
      <c r="F54" s="4" t="n">
        <v>0.00957</v>
      </c>
      <c r="G54" s="4" t="n">
        <v>0.012378</v>
      </c>
    </row>
    <row r="55">
      <c r="A55" s="3" t="n">
        <v>69</v>
      </c>
      <c r="B55" s="4" t="n">
        <v>0.004769</v>
      </c>
      <c r="C55" s="4" t="n">
        <v>0.006592</v>
      </c>
      <c r="D55" s="4" t="n">
        <v>0.007962</v>
      </c>
      <c r="E55" s="4" t="n">
        <v>0.009331000000000001</v>
      </c>
      <c r="F55" s="4" t="n">
        <v>0.010701</v>
      </c>
      <c r="G55" s="4" t="n">
        <v>0.013977</v>
      </c>
    </row>
    <row r="56">
      <c r="A56" s="3" t="n">
        <v>70</v>
      </c>
      <c r="B56" s="4" t="n">
        <v>0.005282</v>
      </c>
      <c r="C56" s="4" t="n">
        <v>0.007341</v>
      </c>
      <c r="D56" s="4" t="n">
        <v>0.008888</v>
      </c>
      <c r="E56" s="4" t="n">
        <v>0.010434</v>
      </c>
      <c r="F56" s="4" t="n">
        <v>0.011981</v>
      </c>
      <c r="G56" s="4" t="n">
        <v>0.015786</v>
      </c>
    </row>
    <row r="57">
      <c r="A57" s="3" t="n">
        <v>71</v>
      </c>
      <c r="B57" s="4" t="n">
        <v>0.005866</v>
      </c>
      <c r="C57" s="4" t="n">
        <v>0.008192</v>
      </c>
      <c r="D57" s="4" t="n">
        <v>0.009939</v>
      </c>
      <c r="E57" s="4" t="n">
        <v>0.011686</v>
      </c>
      <c r="F57" s="4" t="n">
        <v>0.013433</v>
      </c>
      <c r="G57" s="4" t="n">
        <v>0.017832</v>
      </c>
    </row>
    <row r="58">
      <c r="A58" s="3" t="n">
        <v>72</v>
      </c>
      <c r="B58" s="4" t="n">
        <v>0.006536</v>
      </c>
      <c r="C58" s="4" t="n">
        <v>0.009164</v>
      </c>
      <c r="D58" s="4" t="n">
        <v>0.011138</v>
      </c>
      <c r="E58" s="4" t="n">
        <v>0.013111</v>
      </c>
      <c r="F58" s="4" t="n">
        <v>0.015085</v>
      </c>
      <c r="G58" s="4" t="n">
        <v>0.020145</v>
      </c>
    </row>
    <row r="59">
      <c r="A59" s="3" t="n">
        <v>73</v>
      </c>
      <c r="B59" s="4" t="n">
        <v>0.007311</v>
      </c>
      <c r="C59" s="4" t="n">
        <v>0.01028</v>
      </c>
      <c r="D59" s="4" t="n">
        <v>0.012509</v>
      </c>
      <c r="E59" s="4" t="n">
        <v>0.014739</v>
      </c>
      <c r="F59" s="4" t="n">
        <v>0.016969</v>
      </c>
      <c r="G59" s="4" t="n">
        <v>0.022759</v>
      </c>
    </row>
    <row r="60">
      <c r="A60" s="3" t="n">
        <v>74</v>
      </c>
      <c r="B60" s="4" t="n">
        <v>0.008214000000000001</v>
      </c>
      <c r="C60" s="4" t="n">
        <v>0.011567</v>
      </c>
      <c r="D60" s="4" t="n">
        <v>0.014086</v>
      </c>
      <c r="E60" s="4" t="n">
        <v>0.016606</v>
      </c>
      <c r="F60" s="4" t="n">
        <v>0.019125</v>
      </c>
      <c r="G60" s="4" t="n">
        <v>0.025712</v>
      </c>
    </row>
    <row r="61">
      <c r="A61" s="3" t="n">
        <v>75</v>
      </c>
      <c r="B61" s="4" t="n">
        <v>0.009273</v>
      </c>
      <c r="C61" s="4" t="n">
        <v>0.013061</v>
      </c>
      <c r="D61" s="4" t="n">
        <v>0.015907</v>
      </c>
      <c r="E61" s="4" t="n">
        <v>0.018753</v>
      </c>
      <c r="F61" s="4" t="n">
        <v>0.021599</v>
      </c>
      <c r="G61" s="4" t="n">
        <v>0.029048</v>
      </c>
    </row>
    <row r="62">
      <c r="A62" s="3" t="n">
        <v>76</v>
      </c>
      <c r="B62" s="4" t="n">
        <v>0.010523</v>
      </c>
      <c r="C62" s="4" t="n">
        <v>0.014803</v>
      </c>
      <c r="D62" s="4" t="n">
        <v>0.018018</v>
      </c>
      <c r="E62" s="4" t="n">
        <v>0.021233</v>
      </c>
      <c r="F62" s="4" t="n">
        <v>0.024448</v>
      </c>
      <c r="G62" s="4" t="n">
        <v>0.032813</v>
      </c>
    </row>
    <row r="63">
      <c r="A63" s="3" t="n">
        <v>77</v>
      </c>
      <c r="B63" s="4" t="n">
        <v>0.01201</v>
      </c>
      <c r="C63" s="4" t="n">
        <v>0.016844</v>
      </c>
      <c r="D63" s="4" t="n">
        <v>0.020475</v>
      </c>
      <c r="E63" s="4" t="n">
        <v>0.024106</v>
      </c>
      <c r="F63" s="4" t="n">
        <v>0.027737</v>
      </c>
      <c r="G63" s="4" t="n">
        <v>0.03706</v>
      </c>
    </row>
    <row r="64">
      <c r="A64" s="3" t="n">
        <v>78</v>
      </c>
      <c r="B64" s="4" t="n">
        <v>0.013789</v>
      </c>
      <c r="C64" s="4" t="n">
        <v>0.019247</v>
      </c>
      <c r="D64" s="4" t="n">
        <v>0.023347</v>
      </c>
      <c r="E64" s="4" t="n">
        <v>0.027447</v>
      </c>
      <c r="F64" s="4" t="n">
        <v>0.031548</v>
      </c>
      <c r="G64" s="4" t="n">
        <v>0.041849</v>
      </c>
    </row>
    <row r="65">
      <c r="A65" s="3" t="n">
        <v>79</v>
      </c>
      <c r="B65" s="4" t="n">
        <v>0.015861</v>
      </c>
      <c r="C65" s="4" t="n">
        <v>0.022023</v>
      </c>
      <c r="D65" s="4" t="n">
        <v>0.026652</v>
      </c>
      <c r="E65" s="4" t="n">
        <v>0.031281</v>
      </c>
      <c r="F65" s="4" t="n">
        <v>0.03591</v>
      </c>
      <c r="G65" s="4" t="n">
        <v>0.047245</v>
      </c>
    </row>
    <row r="66">
      <c r="A66" s="3" t="n">
        <v>80</v>
      </c>
      <c r="B66" s="4" t="n">
        <v>0.018195</v>
      </c>
      <c r="C66" s="4" t="n">
        <v>0.02515</v>
      </c>
      <c r="D66" s="4" t="n">
        <v>0.030374</v>
      </c>
      <c r="E66" s="4" t="n">
        <v>0.035598</v>
      </c>
      <c r="F66" s="4" t="n">
        <v>0.040822</v>
      </c>
      <c r="G66" s="4" t="n">
        <v>0.053319</v>
      </c>
    </row>
    <row r="67">
      <c r="A67" s="3" t="n">
        <v>81</v>
      </c>
      <c r="B67" s="4" t="n">
        <v>0.020709</v>
      </c>
      <c r="C67" s="4" t="n">
        <v>0.028555</v>
      </c>
      <c r="D67" s="4" t="n">
        <v>0.034449</v>
      </c>
      <c r="E67" s="4" t="n">
        <v>0.040342</v>
      </c>
      <c r="F67" s="4" t="n">
        <v>0.046236</v>
      </c>
      <c r="G67" s="4" t="n">
        <v>0.060153</v>
      </c>
    </row>
    <row r="68">
      <c r="A68" s="3" t="n">
        <v>82</v>
      </c>
      <c r="B68" s="4" t="n">
        <v>0.023428</v>
      </c>
      <c r="C68" s="4" t="n">
        <v>0.032275</v>
      </c>
      <c r="D68" s="4" t="n">
        <v>0.038921</v>
      </c>
      <c r="E68" s="4" t="n">
        <v>0.045567</v>
      </c>
      <c r="F68" s="4" t="n">
        <v>0.052213</v>
      </c>
      <c r="G68" s="4" t="n">
        <v>0.067833</v>
      </c>
    </row>
    <row r="69">
      <c r="A69" s="3" t="n">
        <v>83</v>
      </c>
      <c r="B69" s="4" t="n">
        <v>0.026091</v>
      </c>
      <c r="C69" s="4" t="n">
        <v>0.035944</v>
      </c>
      <c r="D69" s="4" t="n">
        <v>0.043346</v>
      </c>
      <c r="E69" s="4" t="n">
        <v>0.050748</v>
      </c>
      <c r="F69" s="4" t="n">
        <v>0.05815</v>
      </c>
      <c r="G69" s="4" t="n">
        <v>0.07645399999999999</v>
      </c>
    </row>
    <row r="70">
      <c r="A70" s="3" t="n">
        <v>84</v>
      </c>
      <c r="B70" s="4" t="n">
        <v>0.028833</v>
      </c>
      <c r="C70" s="4" t="n">
        <v>0.039722</v>
      </c>
      <c r="D70" s="4" t="n">
        <v>0.047901</v>
      </c>
      <c r="E70" s="4" t="n">
        <v>0.056081</v>
      </c>
      <c r="F70" s="4" t="n">
        <v>0.06426</v>
      </c>
      <c r="G70" s="4" t="n">
        <v>0.086088</v>
      </c>
    </row>
    <row r="71">
      <c r="A71" s="3" t="n">
        <v>85</v>
      </c>
      <c r="B71" s="4" t="n">
        <v>0.031822</v>
      </c>
      <c r="C71" s="4" t="n">
        <v>0.04384</v>
      </c>
      <c r="D71" s="4" t="n">
        <v>0.052867</v>
      </c>
      <c r="E71" s="4" t="n">
        <v>0.061895</v>
      </c>
      <c r="F71" s="4" t="n">
        <v>0.070922</v>
      </c>
      <c r="G71" s="4" t="n">
        <v>0.095529</v>
      </c>
    </row>
    <row r="72">
      <c r="A72" s="3" t="n">
        <v>86</v>
      </c>
      <c r="B72" s="4" t="n">
        <v>0.035074</v>
      </c>
      <c r="C72" s="4" t="n">
        <v>0.048319</v>
      </c>
      <c r="D72" s="4" t="n">
        <v>0.058269</v>
      </c>
      <c r="E72" s="4" t="n">
        <v>0.068219</v>
      </c>
      <c r="F72" s="4" t="n">
        <v>0.078169</v>
      </c>
      <c r="G72" s="4" t="n">
        <v>0.10529</v>
      </c>
    </row>
    <row r="73">
      <c r="A73" s="3" t="n">
        <v>87</v>
      </c>
      <c r="B73" s="4" t="n">
        <v>0.038604</v>
      </c>
      <c r="C73" s="4" t="n">
        <v>0.053183</v>
      </c>
      <c r="D73" s="4" t="n">
        <v>0.064134</v>
      </c>
      <c r="E73" s="4" t="n">
        <v>0.075085</v>
      </c>
      <c r="F73" s="4" t="n">
        <v>0.086037</v>
      </c>
      <c r="G73" s="4" t="n">
        <v>0.115888</v>
      </c>
    </row>
    <row r="74">
      <c r="A74" s="3" t="n">
        <v>88</v>
      </c>
      <c r="B74" s="4" t="n">
        <v>0.042429</v>
      </c>
      <c r="C74" s="4" t="n">
        <v>0.058452</v>
      </c>
      <c r="D74" s="4" t="n">
        <v>0.070488</v>
      </c>
      <c r="E74" s="4" t="n">
        <v>0.082525</v>
      </c>
      <c r="F74" s="4" t="n">
        <v>0.09456100000000001</v>
      </c>
      <c r="G74" s="4" t="n">
        <v>0.12737</v>
      </c>
    </row>
    <row r="75">
      <c r="A75" s="3" t="n">
        <v>89</v>
      </c>
      <c r="B75" s="4" t="n">
        <v>0.046563</v>
      </c>
      <c r="C75" s="4" t="n">
        <v>0.064148</v>
      </c>
      <c r="D75" s="4" t="n">
        <v>0.077357</v>
      </c>
      <c r="E75" s="4" t="n">
        <v>0.09056699999999999</v>
      </c>
      <c r="F75" s="4" t="n">
        <v>0.103776</v>
      </c>
      <c r="G75" s="4" t="n">
        <v>0.139782</v>
      </c>
    </row>
    <row r="76">
      <c r="A76" s="3" t="n">
        <v>90</v>
      </c>
      <c r="B76" s="4" t="n">
        <v>0.051022</v>
      </c>
      <c r="C76" s="4" t="n">
        <v>0.07029100000000001</v>
      </c>
      <c r="D76" s="4" t="n">
        <v>0.08476499999999999</v>
      </c>
      <c r="E76" s="4" t="n">
        <v>0.09923999999999999</v>
      </c>
      <c r="F76" s="4" t="n">
        <v>0.113714</v>
      </c>
      <c r="G76" s="4" t="n">
        <v>0.153168</v>
      </c>
    </row>
    <row r="77">
      <c r="A77" s="3" t="n">
        <v>91</v>
      </c>
      <c r="B77" s="4" t="n"/>
      <c r="C77" s="4" t="n">
        <v>0.076901</v>
      </c>
      <c r="D77" s="4" t="n">
        <v>0.092736</v>
      </c>
      <c r="E77" s="4" t="n">
        <v>0.108572</v>
      </c>
      <c r="F77" s="4" t="n">
        <v>0.124407</v>
      </c>
      <c r="G77" s="4" t="n">
        <v>0.167571</v>
      </c>
    </row>
    <row r="78">
      <c r="A78" s="3" t="n">
        <v>92</v>
      </c>
      <c r="B78" s="4" t="n"/>
      <c r="C78" s="4" t="n"/>
      <c r="D78" s="4" t="n">
        <v>0.101291</v>
      </c>
      <c r="E78" s="4" t="n">
        <v>0.118587</v>
      </c>
      <c r="F78" s="4" t="n">
        <v>0.135883</v>
      </c>
      <c r="G78" s="4" t="n">
        <v>0.183029</v>
      </c>
    </row>
    <row r="79">
      <c r="A79" s="3" t="n">
        <v>93</v>
      </c>
      <c r="B79" s="4" t="n"/>
      <c r="C79" s="4" t="n"/>
      <c r="D79" s="4" t="n"/>
      <c r="E79" s="4" t="n">
        <v>0.129306</v>
      </c>
      <c r="F79" s="4" t="n">
        <v>0.148166</v>
      </c>
      <c r="G79" s="4" t="n">
        <v>0.199573</v>
      </c>
    </row>
    <row r="80">
      <c r="A80" s="3" t="n">
        <v>94</v>
      </c>
      <c r="B80" s="4" t="n"/>
      <c r="C80" s="4" t="n"/>
      <c r="D80" s="4" t="n"/>
      <c r="E80" s="4" t="n"/>
      <c r="F80" s="4" t="n">
        <v>0.161276</v>
      </c>
      <c r="G80" s="4" t="n">
        <v>0.217232</v>
      </c>
    </row>
    <row r="81">
      <c r="A81" s="3" t="n">
        <v>95</v>
      </c>
      <c r="B81" s="4" t="n"/>
      <c r="C81" s="4" t="n"/>
      <c r="D81" s="4" t="n"/>
      <c r="E81" s="4" t="n"/>
      <c r="F81" s="4" t="n"/>
      <c r="G81" s="4" t="n">
        <v>0.236024</v>
      </c>
    </row>
    <row r="82">
      <c r="A82" s="3" t="n">
        <v>96</v>
      </c>
      <c r="B82" s="4" t="n"/>
      <c r="C82" s="4" t="n"/>
      <c r="D82" s="4" t="n"/>
      <c r="E82" s="4" t="n"/>
      <c r="F82" s="4" t="n"/>
      <c r="G82" s="4" t="n">
        <v>0.255963</v>
      </c>
    </row>
    <row r="83">
      <c r="A83" s="3" t="n">
        <v>97</v>
      </c>
      <c r="B83" s="4" t="n"/>
      <c r="C83" s="4" t="n"/>
      <c r="D83" s="4" t="n"/>
      <c r="E83" s="4" t="n"/>
      <c r="F83" s="4" t="n"/>
      <c r="G83" s="4" t="n">
        <v>0.277048</v>
      </c>
    </row>
    <row r="84">
      <c r="A84" s="3" t="n">
        <v>98</v>
      </c>
      <c r="B84" s="4" t="n"/>
      <c r="C84" s="4" t="n"/>
      <c r="D84" s="4" t="n"/>
      <c r="E84" s="4" t="n"/>
      <c r="F84" s="4" t="n"/>
      <c r="G84" s="4" t="n">
        <v>0.299269</v>
      </c>
    </row>
    <row r="85">
      <c r="A85" s="3" t="n">
        <v>99</v>
      </c>
      <c r="B85" s="4" t="n"/>
      <c r="C85" s="4" t="n"/>
      <c r="D85" s="4" t="n"/>
      <c r="E85" s="4" t="n"/>
      <c r="F85" s="4" t="n"/>
      <c r="G85" s="4" t="n">
        <v>0.322606</v>
      </c>
    </row>
    <row r="86">
      <c r="A86" s="3" t="n">
        <v>100</v>
      </c>
      <c r="B86" s="4" t="n"/>
      <c r="C86" s="4" t="n"/>
      <c r="D86" s="4" t="n"/>
      <c r="E86" s="4" t="n"/>
      <c r="F86" s="4" t="n"/>
      <c r="G86" s="4" t="n">
        <v>0.346759</v>
      </c>
    </row>
    <row r="87">
      <c r="A87" s="3" t="n">
        <v>101</v>
      </c>
      <c r="B87" s="4" t="n"/>
      <c r="C87" s="4" t="n"/>
      <c r="D87" s="4" t="n"/>
      <c r="E87" s="4" t="n"/>
      <c r="F87" s="4" t="n"/>
      <c r="G87" s="4" t="n">
        <v>0.370214</v>
      </c>
    </row>
    <row r="88">
      <c r="A88" s="3" t="n">
        <v>102</v>
      </c>
      <c r="B88" s="4" t="n"/>
      <c r="C88" s="4" t="n"/>
      <c r="D88" s="4" t="n"/>
      <c r="E88" s="4" t="n"/>
      <c r="F88" s="4" t="n"/>
      <c r="G88" s="4" t="n">
        <v>0.392528</v>
      </c>
    </row>
    <row r="89">
      <c r="A89" s="3" t="n">
        <v>103</v>
      </c>
      <c r="B89" s="4" t="n"/>
      <c r="C89" s="4" t="n"/>
      <c r="D89" s="4" t="n"/>
      <c r="E89" s="4" t="n"/>
      <c r="F89" s="4" t="n"/>
      <c r="G89" s="4" t="n">
        <v>0.413752</v>
      </c>
    </row>
    <row r="90">
      <c r="A90" s="3" t="n">
        <v>104</v>
      </c>
      <c r="B90" s="4" t="n"/>
      <c r="C90" s="4" t="n"/>
      <c r="D90" s="4" t="n"/>
      <c r="E90" s="4" t="n"/>
      <c r="F90" s="4" t="n"/>
      <c r="G90" s="4" t="n">
        <v>0.433932</v>
      </c>
    </row>
    <row r="91">
      <c r="A91" s="3" t="n">
        <v>105</v>
      </c>
      <c r="B91" s="4" t="n"/>
      <c r="C91" s="4" t="n"/>
      <c r="D91" s="4" t="n"/>
      <c r="E91" s="4" t="n"/>
      <c r="F91" s="4" t="n"/>
      <c r="G91" s="4" t="n">
        <v>0.45311</v>
      </c>
    </row>
    <row r="92">
      <c r="A92" s="3" t="n">
        <v>106</v>
      </c>
      <c r="B92" s="4" t="n"/>
      <c r="C92" s="4" t="n"/>
      <c r="D92" s="4" t="n"/>
      <c r="E92" s="4" t="n"/>
      <c r="F92" s="4" t="n"/>
      <c r="G92" s="4" t="n">
        <v>0.471326</v>
      </c>
    </row>
    <row r="93">
      <c r="A93" s="3" t="n">
        <v>107</v>
      </c>
      <c r="B93" s="4" t="n"/>
      <c r="C93" s="4" t="n"/>
      <c r="D93" s="4" t="n"/>
      <c r="E93" s="4" t="n"/>
      <c r="F93" s="4" t="n"/>
      <c r="G93" s="4" t="n">
        <v>0.488618</v>
      </c>
    </row>
    <row r="94">
      <c r="A94" s="3" t="n">
        <v>108</v>
      </c>
      <c r="B94" s="4" t="n"/>
      <c r="C94" s="4" t="n"/>
      <c r="D94" s="4" t="n"/>
      <c r="E94" s="4" t="n"/>
      <c r="F94" s="4" t="n"/>
      <c r="G94" s="4" t="n">
        <v>0.505018</v>
      </c>
    </row>
    <row r="95">
      <c r="A95" s="3" t="n">
        <v>109</v>
      </c>
      <c r="B95" s="4" t="n"/>
      <c r="C95" s="4" t="n"/>
      <c r="D95" s="4" t="n"/>
      <c r="E95" s="4" t="n"/>
      <c r="F95" s="4" t="n"/>
      <c r="G95" s="4" t="n">
        <v>0.520556</v>
      </c>
    </row>
    <row r="96">
      <c r="A96" s="3" t="n">
        <v>110</v>
      </c>
      <c r="B96" s="4" t="n"/>
      <c r="C96" s="4" t="n"/>
      <c r="D96" s="4" t="n"/>
      <c r="E96" s="4" t="n"/>
      <c r="F96" s="4" t="n"/>
      <c r="G96" s="4" t="n">
        <v>0.535256</v>
      </c>
    </row>
    <row r="97">
      <c r="A97" s="3" t="n">
        <v>111</v>
      </c>
      <c r="B97" s="4" t="n"/>
      <c r="C97" s="4" t="n"/>
      <c r="D97" s="4" t="n"/>
      <c r="E97" s="4" t="n"/>
      <c r="F97" s="4" t="n"/>
      <c r="G97" s="4" t="n">
        <v>0.549141</v>
      </c>
    </row>
    <row r="98">
      <c r="A98" s="3" t="n">
        <v>112</v>
      </c>
      <c r="B98" s="4" t="n"/>
      <c r="C98" s="4" t="n"/>
      <c r="D98" s="4" t="n"/>
      <c r="E98" s="4" t="n"/>
      <c r="F98" s="4" t="n"/>
      <c r="G98" s="4" t="n">
        <v>0.562225</v>
      </c>
    </row>
    <row r="99">
      <c r="A99" s="3" t="n">
        <v>113</v>
      </c>
      <c r="B99" s="4" t="n"/>
      <c r="C99" s="4" t="n"/>
      <c r="D99" s="4" t="n"/>
      <c r="E99" s="4" t="n"/>
      <c r="F99" s="4" t="n"/>
      <c r="G99" s="4" t="n">
        <v>0.5745170000000001</v>
      </c>
    </row>
    <row r="100">
      <c r="A100" s="3" t="n">
        <v>114</v>
      </c>
      <c r="B100" s="4" t="n"/>
      <c r="C100" s="4" t="n"/>
      <c r="D100" s="4" t="n"/>
      <c r="E100" s="4" t="n"/>
      <c r="F100" s="4" t="n"/>
      <c r="G100" s="4" t="n">
        <v>0.586017</v>
      </c>
    </row>
    <row r="101">
      <c r="A101" s="3" t="n">
        <v>115</v>
      </c>
      <c r="B101" s="4" t="n"/>
      <c r="C101" s="4" t="n"/>
      <c r="D101" s="4" t="n"/>
      <c r="E101" s="4" t="n"/>
      <c r="F101" s="4" t="n"/>
      <c r="G101" s="4" t="n">
        <v>0.596712</v>
      </c>
    </row>
    <row r="102">
      <c r="A102" s="3" t="n">
        <v>116</v>
      </c>
      <c r="B102" s="4" t="n"/>
      <c r="C102" s="4" t="n"/>
      <c r="D102" s="4" t="n"/>
      <c r="E102" s="4" t="n"/>
      <c r="F102" s="4" t="n"/>
      <c r="G102" s="4" t="n">
        <v>0.606569</v>
      </c>
    </row>
    <row r="103">
      <c r="A103" s="3" t="n">
        <v>117</v>
      </c>
      <c r="B103" s="4" t="n"/>
      <c r="C103" s="4" t="n"/>
      <c r="D103" s="4" t="n"/>
      <c r="E103" s="4" t="n"/>
      <c r="F103" s="4" t="n"/>
      <c r="G103" s="4" t="n">
        <v>0.615519</v>
      </c>
    </row>
    <row r="104">
      <c r="A104" s="3" t="n">
        <v>118</v>
      </c>
      <c r="B104" s="4" t="n"/>
      <c r="C104" s="4" t="n"/>
      <c r="D104" s="4" t="n"/>
      <c r="E104" s="4" t="n"/>
      <c r="F104" s="4" t="n"/>
      <c r="G104" s="4" t="n">
        <v>0.623412</v>
      </c>
    </row>
    <row r="105">
      <c r="A105" s="3" t="n">
        <v>119</v>
      </c>
      <c r="B105" s="4" t="n"/>
      <c r="C105" s="4" t="n"/>
      <c r="D105" s="4" t="n"/>
      <c r="E105" s="4" t="n"/>
      <c r="F105" s="4" t="n"/>
      <c r="G105" s="4" t="n">
        <v>0.62982</v>
      </c>
    </row>
    <row r="106">
      <c r="A106" s="3" t="n">
        <v>120</v>
      </c>
      <c r="B106" s="4" t="n"/>
      <c r="C106" s="4" t="n"/>
      <c r="D106" s="4" t="n"/>
      <c r="E106" s="4" t="n"/>
      <c r="F106" s="4" t="n"/>
      <c r="G106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Reconciliation: F1 vs the Python model (tolerance €0.01)</t>
        </is>
      </c>
    </row>
    <row r="2">
      <c r="A2" s="5" t="inlineStr">
        <is>
          <t>Green = formula from the model sheet; black numbers = Python values; difference = Excel − Python.</t>
        </is>
      </c>
    </row>
    <row r="4">
      <c r="A4" s="2" t="inlineStr">
        <is>
          <t>Item</t>
        </is>
      </c>
      <c r="B4" s="2" t="inlineStr">
        <is>
          <t>Excel</t>
        </is>
      </c>
      <c r="C4" s="2" t="inlineStr">
        <is>
          <t>Python</t>
        </is>
      </c>
      <c r="D4" s="2" t="inlineStr">
        <is>
          <t>Difference</t>
        </is>
      </c>
    </row>
    <row r="5">
      <c r="A5" s="3" t="inlineStr">
        <is>
          <t>Premium</t>
        </is>
      </c>
      <c r="B5" s="11">
        <f>F1!C2</f>
        <v/>
      </c>
      <c r="C5" s="3" t="n">
        <v>579.2827627052641</v>
      </c>
      <c r="D5" s="3">
        <f>B5-C5</f>
        <v/>
      </c>
    </row>
    <row r="6">
      <c r="A6" s="3" t="inlineStr">
        <is>
          <t>NPV</t>
        </is>
      </c>
      <c r="B6" s="11">
        <f>F1!C3</f>
        <v/>
      </c>
      <c r="C6" s="3" t="n">
        <v>408.1656099449115</v>
      </c>
      <c r="D6" s="3">
        <f>B6-C6</f>
        <v/>
      </c>
    </row>
    <row r="7">
      <c r="A7" s="3" t="inlineStr">
        <is>
          <t>Profit margin</t>
        </is>
      </c>
      <c r="B7" s="11">
        <f>F1!C5</f>
        <v/>
      </c>
      <c r="C7" s="3" t="n">
        <v>0.100000000000001</v>
      </c>
      <c r="D7" s="3">
        <f>B7-C7</f>
        <v/>
      </c>
    </row>
    <row r="8">
      <c r="A8" s="3" t="inlineStr">
        <is>
          <t>IRR</t>
        </is>
      </c>
      <c r="B8" s="11">
        <f>F1!F2</f>
        <v/>
      </c>
      <c r="C8" s="3" t="n">
        <v>0.3024767826052641</v>
      </c>
      <c r="D8" s="3">
        <f>B8-C8</f>
        <v/>
      </c>
    </row>
    <row r="9">
      <c r="A9" s="3" t="inlineStr">
        <is>
          <t>V at issue</t>
        </is>
      </c>
      <c r="B9" s="11">
        <f>F1!F4</f>
        <v/>
      </c>
      <c r="C9" s="3" t="n">
        <v>-689.2269872569232</v>
      </c>
      <c r="D9" s="3">
        <f>B9-C9</f>
        <v/>
      </c>
    </row>
    <row r="10">
      <c r="A10" s="3" t="inlineStr">
        <is>
          <t>SII loss: mortality</t>
        </is>
      </c>
      <c r="B10" s="11">
        <f>F1!I2</f>
        <v/>
      </c>
      <c r="C10" s="3" t="n">
        <v>461.1182755638063</v>
      </c>
      <c r="D10" s="3">
        <f>B10-C10</f>
        <v/>
      </c>
    </row>
    <row r="11">
      <c r="A11" s="3" t="inlineStr">
        <is>
          <t>SII loss: lapse_up</t>
        </is>
      </c>
      <c r="B11" s="11">
        <f>F1!I3</f>
        <v/>
      </c>
      <c r="C11" s="3" t="n">
        <v>105.0971592493233</v>
      </c>
      <c r="D11" s="3">
        <f>B11-C11</f>
        <v/>
      </c>
    </row>
    <row r="12">
      <c r="A12" s="3" t="inlineStr">
        <is>
          <t>SII loss: mass</t>
        </is>
      </c>
      <c r="B12" s="11">
        <f>F1!I4</f>
        <v/>
      </c>
      <c r="C12" s="3" t="n">
        <v>275.6907949027693</v>
      </c>
      <c r="D12" s="3">
        <f>B12-C12</f>
        <v/>
      </c>
    </row>
    <row r="13">
      <c r="A13" s="3" t="inlineStr">
        <is>
          <t>SII loss: expense</t>
        </is>
      </c>
      <c r="B13" s="11">
        <f>F1!I5</f>
        <v/>
      </c>
      <c r="C13" s="3" t="n">
        <v>180.3446051289736</v>
      </c>
      <c r="D13" s="3">
        <f>B13-C13</f>
        <v/>
      </c>
    </row>
    <row r="14">
      <c r="A14" s="3" t="inlineStr">
        <is>
          <t>SII loss: cat</t>
        </is>
      </c>
      <c r="B14" s="11">
        <f>F1!I6</f>
        <v/>
      </c>
      <c r="C14" s="3" t="n">
        <v>366.2321456408093</v>
      </c>
      <c r="D14" s="3">
        <f>B14-C14</f>
        <v/>
      </c>
    </row>
    <row r="17">
      <c r="A17" s="2" t="inlineStr">
        <is>
          <t>t</t>
        </is>
      </c>
      <c r="B17" s="2" t="inlineStr">
        <is>
          <t>ℓ_t Excel</t>
        </is>
      </c>
      <c r="C17" s="2" t="inlineStr">
        <is>
          <t>ℓ_t Python</t>
        </is>
      </c>
      <c r="D17" s="2" t="inlineStr">
        <is>
          <t>ℓ_t Diff</t>
        </is>
      </c>
      <c r="E17" s="2" t="inlineStr">
        <is>
          <t>V_t Excel</t>
        </is>
      </c>
      <c r="F17" s="2" t="inlineStr">
        <is>
          <t>V_t Python</t>
        </is>
      </c>
      <c r="G17" s="2" t="inlineStr">
        <is>
          <t>V_t Diff</t>
        </is>
      </c>
      <c r="H17" s="2" t="inlineStr">
        <is>
          <t>Reserve Excel</t>
        </is>
      </c>
      <c r="I17" s="2" t="inlineStr">
        <is>
          <t>Reserve Python</t>
        </is>
      </c>
      <c r="J17" s="2" t="inlineStr">
        <is>
          <t>Reserve Diff</t>
        </is>
      </c>
      <c r="K17" s="2" t="inlineStr">
        <is>
          <t>Profit vector Excel</t>
        </is>
      </c>
      <c r="L17" s="2" t="inlineStr">
        <is>
          <t>Profit vector Python</t>
        </is>
      </c>
      <c r="M17" s="2" t="inlineStr">
        <is>
          <t>Profit vector Diff</t>
        </is>
      </c>
    </row>
    <row r="18">
      <c r="A18" s="3" t="n">
        <v>0</v>
      </c>
      <c r="B18" s="11">
        <f>F1!E8</f>
        <v/>
      </c>
      <c r="C18" s="3" t="n">
        <v>1</v>
      </c>
      <c r="D18" s="3">
        <f>B18-C18</f>
        <v/>
      </c>
      <c r="E18" s="11">
        <f>F1!L8</f>
        <v/>
      </c>
      <c r="F18" s="3" t="n">
        <v>-689.2269872569232</v>
      </c>
      <c r="G18" s="3">
        <f>E18-F18</f>
        <v/>
      </c>
      <c r="H18" s="11">
        <f>F1!O8</f>
        <v/>
      </c>
      <c r="I18" s="3" t="n">
        <v>0</v>
      </c>
      <c r="J18" s="3">
        <f>H18-I18</f>
        <v/>
      </c>
      <c r="K18" s="11">
        <f>F1!P8</f>
        <v/>
      </c>
      <c r="L18" s="3" t="n">
        <v>-518.5996756096001</v>
      </c>
      <c r="M18" s="3">
        <f>K18-L18</f>
        <v/>
      </c>
    </row>
    <row r="19">
      <c r="A19" s="3" t="n">
        <v>1</v>
      </c>
      <c r="B19" s="11">
        <f>F1!E9</f>
        <v/>
      </c>
      <c r="C19" s="3" t="n">
        <v>0.939309415803904</v>
      </c>
      <c r="D19" s="3">
        <f>B19-C19</f>
        <v/>
      </c>
      <c r="E19" s="11">
        <f>F1!L9</f>
        <v/>
      </c>
      <c r="F19" s="3" t="n">
        <v>-1307.879439740122</v>
      </c>
      <c r="G19" s="3">
        <f>E19-F19</f>
        <v/>
      </c>
      <c r="H19" s="11">
        <f>F1!O9</f>
        <v/>
      </c>
      <c r="I19" s="3" t="n">
        <v>0</v>
      </c>
      <c r="J19" s="3">
        <f>H19-I19</f>
        <v/>
      </c>
      <c r="K19" s="11">
        <f>F1!P9</f>
        <v/>
      </c>
      <c r="L19" s="3" t="n">
        <v>318.9173869457947</v>
      </c>
      <c r="M19" s="3">
        <f>K19-L19</f>
        <v/>
      </c>
    </row>
    <row r="20">
      <c r="A20" s="3" t="n">
        <v>2</v>
      </c>
      <c r="B20" s="11">
        <f>F1!E10</f>
        <v/>
      </c>
      <c r="C20" s="3" t="n">
        <v>0.8540933608546291</v>
      </c>
      <c r="D20" s="3">
        <f>B20-C20</f>
        <v/>
      </c>
      <c r="E20" s="11">
        <f>F1!L10</f>
        <v/>
      </c>
      <c r="F20" s="3" t="n">
        <v>-1130.785598509505</v>
      </c>
      <c r="G20" s="3">
        <f>E20-F20</f>
        <v/>
      </c>
      <c r="H20" s="11">
        <f>F1!O10</f>
        <v/>
      </c>
      <c r="I20" s="3" t="n">
        <v>0</v>
      </c>
      <c r="J20" s="3">
        <f>H20-I20</f>
        <v/>
      </c>
      <c r="K20" s="11">
        <f>F1!P10</f>
        <v/>
      </c>
      <c r="L20" s="3" t="n">
        <v>301.0473574111836</v>
      </c>
      <c r="M20" s="3">
        <f>K20-L20</f>
        <v/>
      </c>
    </row>
    <row r="21">
      <c r="A21" s="3" t="n">
        <v>3</v>
      </c>
      <c r="B21" s="11">
        <f>F1!E11</f>
        <v/>
      </c>
      <c r="C21" s="3" t="n">
        <v>0.7850925596586261</v>
      </c>
      <c r="D21" s="3">
        <f>B21-C21</f>
        <v/>
      </c>
      <c r="E21" s="11">
        <f>F1!L11</f>
        <v/>
      </c>
      <c r="F21" s="3" t="n">
        <v>-939.5679631165112</v>
      </c>
      <c r="G21" s="3">
        <f>E21-F21</f>
        <v/>
      </c>
      <c r="H21" s="11">
        <f>F1!O11</f>
        <v/>
      </c>
      <c r="I21" s="3" t="n">
        <v>0</v>
      </c>
      <c r="J21" s="3">
        <f>H21-I21</f>
        <v/>
      </c>
      <c r="K21" s="11">
        <f>F1!P11</f>
        <v/>
      </c>
      <c r="L21" s="3" t="n">
        <v>194.1685230848902</v>
      </c>
      <c r="M21" s="3">
        <f>K21-L21</f>
        <v/>
      </c>
    </row>
    <row r="22">
      <c r="A22" s="3" t="n">
        <v>4</v>
      </c>
      <c r="B22" s="11">
        <f>F1!E12</f>
        <v/>
      </c>
      <c r="C22" s="3" t="n">
        <v>0.7294603650180312</v>
      </c>
      <c r="D22" s="3">
        <f>B22-C22</f>
        <v/>
      </c>
      <c r="E22" s="11">
        <f>F1!L12</f>
        <v/>
      </c>
      <c r="F22" s="3" t="n">
        <v>-738.2089819907068</v>
      </c>
      <c r="G22" s="3">
        <f>E22-F22</f>
        <v/>
      </c>
      <c r="H22" s="11">
        <f>F1!O12</f>
        <v/>
      </c>
      <c r="I22" s="3" t="n">
        <v>94.37496359708518</v>
      </c>
      <c r="J22" s="3">
        <f>H22-I22</f>
        <v/>
      </c>
      <c r="K22" s="11">
        <f>F1!P12</f>
        <v/>
      </c>
      <c r="L22" s="3" t="n">
        <v>47.7670358581766</v>
      </c>
      <c r="M22" s="3">
        <f>K22-L22</f>
        <v/>
      </c>
    </row>
    <row r="23">
      <c r="A23" s="3" t="n">
        <v>5</v>
      </c>
      <c r="B23" s="11">
        <f>F1!E13</f>
        <v/>
      </c>
      <c r="C23" s="3" t="n">
        <v>0.685007391633818</v>
      </c>
      <c r="D23" s="3">
        <f>B23-C23</f>
        <v/>
      </c>
      <c r="E23" s="11">
        <f>F1!L13</f>
        <v/>
      </c>
      <c r="F23" s="3" t="n">
        <v>-531.5045868060045</v>
      </c>
      <c r="G23" s="3">
        <f>E23-F23</f>
        <v/>
      </c>
      <c r="H23" s="11">
        <f>F1!O13</f>
        <v/>
      </c>
      <c r="I23" s="3" t="n">
        <v>330.8407635127299</v>
      </c>
      <c r="J23" s="3">
        <f>H23-I23</f>
        <v/>
      </c>
      <c r="K23" s="11">
        <f>F1!P13</f>
        <v/>
      </c>
      <c r="L23" s="3" t="n">
        <v>58.5226761475169</v>
      </c>
      <c r="M23" s="3">
        <f>K23-L23</f>
        <v/>
      </c>
    </row>
    <row r="24">
      <c r="A24" s="3" t="n">
        <v>6</v>
      </c>
      <c r="B24" s="11">
        <f>F1!E14</f>
        <v/>
      </c>
      <c r="C24" s="3" t="n">
        <v>0.6500545542510975</v>
      </c>
      <c r="D24" s="3">
        <f>B24-C24</f>
        <v/>
      </c>
      <c r="E24" s="11">
        <f>F1!L14</f>
        <v/>
      </c>
      <c r="F24" s="3" t="n">
        <v>-324.9409890991371</v>
      </c>
      <c r="G24" s="3">
        <f>E24-F24</f>
        <v/>
      </c>
      <c r="H24" s="11">
        <f>F1!O14</f>
        <v/>
      </c>
      <c r="I24" s="3" t="n">
        <v>549.3638793563986</v>
      </c>
      <c r="J24" s="3">
        <f>H24-I24</f>
        <v/>
      </c>
      <c r="K24" s="11">
        <f>F1!P14</f>
        <v/>
      </c>
      <c r="L24" s="3" t="n">
        <v>71.64178659635513</v>
      </c>
      <c r="M24" s="3">
        <f>K24-L24</f>
        <v/>
      </c>
    </row>
    <row r="25">
      <c r="A25" s="3" t="n">
        <v>7</v>
      </c>
      <c r="B25" s="11">
        <f>F1!E15</f>
        <v/>
      </c>
      <c r="C25" s="3" t="n">
        <v>0.6168318725778128</v>
      </c>
      <c r="D25" s="3">
        <f>B25-C25</f>
        <v/>
      </c>
      <c r="E25" s="11">
        <f>F1!L15</f>
        <v/>
      </c>
      <c r="F25" s="3" t="n">
        <v>-125.8384551080801</v>
      </c>
      <c r="G25" s="3">
        <f>E25-F25</f>
        <v/>
      </c>
      <c r="H25" s="11">
        <f>F1!O15</f>
        <v/>
      </c>
      <c r="I25" s="3" t="n">
        <v>747.6980654453587</v>
      </c>
      <c r="J25" s="3">
        <f>H25-I25</f>
        <v/>
      </c>
      <c r="K25" s="11">
        <f>F1!P15</f>
        <v/>
      </c>
      <c r="L25" s="3" t="n">
        <v>83.69899784514507</v>
      </c>
      <c r="M25" s="3">
        <f>K25-L25</f>
        <v/>
      </c>
    </row>
    <row r="26">
      <c r="A26" s="3" t="n">
        <v>8</v>
      </c>
      <c r="B26" s="11">
        <f>F1!E16</f>
        <v/>
      </c>
      <c r="C26" s="3" t="n">
        <v>0.5852524673443243</v>
      </c>
      <c r="D26" s="3">
        <f>B26-C26</f>
        <v/>
      </c>
      <c r="E26" s="11">
        <f>F1!L16</f>
        <v/>
      </c>
      <c r="F26" s="3" t="n">
        <v>63.31786324286639</v>
      </c>
      <c r="G26" s="3">
        <f>E26-F26</f>
        <v/>
      </c>
      <c r="H26" s="11">
        <f>F1!O16</f>
        <v/>
      </c>
      <c r="I26" s="3" t="n">
        <v>923.3940547719744</v>
      </c>
      <c r="J26" s="3">
        <f>H26-I26</f>
        <v/>
      </c>
      <c r="K26" s="11">
        <f>F1!P16</f>
        <v/>
      </c>
      <c r="L26" s="3" t="n">
        <v>94.56324285375524</v>
      </c>
      <c r="M26" s="3">
        <f>K26-L26</f>
        <v/>
      </c>
    </row>
    <row r="27">
      <c r="A27" s="3" t="n">
        <v>9</v>
      </c>
      <c r="B27" s="11">
        <f>F1!E17</f>
        <v/>
      </c>
      <c r="C27" s="3" t="n">
        <v>0.5552338023915149</v>
      </c>
      <c r="D27" s="3">
        <f>B27-C27</f>
        <v/>
      </c>
      <c r="E27" s="11">
        <f>F1!L17</f>
        <v/>
      </c>
      <c r="F27" s="3" t="n">
        <v>239.6836672676734</v>
      </c>
      <c r="G27" s="3">
        <f>E27-F27</f>
        <v/>
      </c>
      <c r="H27" s="11">
        <f>F1!O17</f>
        <v/>
      </c>
      <c r="I27" s="3" t="n">
        <v>1073.781287760911</v>
      </c>
      <c r="J27" s="3">
        <f>H27-I27</f>
        <v/>
      </c>
      <c r="K27" s="11">
        <f>F1!P17</f>
        <v/>
      </c>
      <c r="L27" s="3" t="n">
        <v>104.0917049881145</v>
      </c>
      <c r="M27" s="3">
        <f>K27-L27</f>
        <v/>
      </c>
    </row>
    <row r="28">
      <c r="A28" s="3" t="n">
        <v>10</v>
      </c>
      <c r="B28" s="11">
        <f>F1!E18</f>
        <v/>
      </c>
      <c r="C28" s="3" t="n">
        <v>0.5266974684093696</v>
      </c>
      <c r="D28" s="3">
        <f>B28-C28</f>
        <v/>
      </c>
      <c r="E28" s="11">
        <f>F1!L18</f>
        <v/>
      </c>
      <c r="F28" s="3" t="n">
        <v>400.0117047221044</v>
      </c>
      <c r="G28" s="3">
        <f>E28-F28</f>
        <v/>
      </c>
      <c r="H28" s="11">
        <f>F1!O18</f>
        <v/>
      </c>
      <c r="I28" s="3" t="n">
        <v>1195.947818297918</v>
      </c>
      <c r="J28" s="3">
        <f>H28-I28</f>
        <v/>
      </c>
      <c r="K28" s="11">
        <f>F1!P18</f>
        <v/>
      </c>
      <c r="L28" s="3" t="n">
        <v>112.12877573947</v>
      </c>
      <c r="M28" s="3">
        <f>K28-L28</f>
        <v/>
      </c>
    </row>
    <row r="29">
      <c r="A29" s="3" t="n">
        <v>11</v>
      </c>
      <c r="B29" s="11">
        <f>F1!E19</f>
        <v/>
      </c>
      <c r="C29" s="3" t="n">
        <v>0.4995689776040391</v>
      </c>
      <c r="D29" s="3">
        <f>B29-C29</f>
        <v/>
      </c>
      <c r="E29" s="11">
        <f>F1!L19</f>
        <v/>
      </c>
      <c r="F29" s="3" t="n">
        <v>540.6027580591399</v>
      </c>
      <c r="G29" s="3">
        <f>E29-F29</f>
        <v/>
      </c>
      <c r="H29" s="11">
        <f>F1!O19</f>
        <v/>
      </c>
      <c r="I29" s="3" t="n">
        <v>1286.718182573478</v>
      </c>
      <c r="J29" s="3">
        <f>H29-I29</f>
        <v/>
      </c>
      <c r="K29" s="11">
        <f>F1!P19</f>
        <v/>
      </c>
      <c r="L29" s="3" t="n">
        <v>118.5049110096134</v>
      </c>
      <c r="M29" s="3">
        <f>K29-L29</f>
        <v/>
      </c>
    </row>
    <row r="30">
      <c r="A30" s="3" t="n">
        <v>12</v>
      </c>
      <c r="B30" s="11">
        <f>F1!E20</f>
        <v/>
      </c>
      <c r="C30" s="3" t="n">
        <v>0.4737775687585984</v>
      </c>
      <c r="D30" s="3">
        <f>B30-C30</f>
        <v/>
      </c>
      <c r="E30" s="11">
        <f>F1!L20</f>
        <v/>
      </c>
      <c r="F30" s="3" t="n">
        <v>657.2507674540373</v>
      </c>
      <c r="G30" s="3">
        <f>E30-F30</f>
        <v/>
      </c>
      <c r="H30" s="11">
        <f>F1!O20</f>
        <v/>
      </c>
      <c r="I30" s="3" t="n">
        <v>1342.628986203203</v>
      </c>
      <c r="J30" s="3">
        <f>H30-I30</f>
        <v/>
      </c>
      <c r="K30" s="11">
        <f>F1!P20</f>
        <v/>
      </c>
      <c r="L30" s="3" t="n">
        <v>123.035374411829</v>
      </c>
      <c r="M30" s="3">
        <f>K30-L30</f>
        <v/>
      </c>
    </row>
    <row r="31">
      <c r="A31" s="3" t="n">
        <v>13</v>
      </c>
      <c r="B31" s="11">
        <f>F1!E21</f>
        <v/>
      </c>
      <c r="C31" s="3" t="n">
        <v>0.4492560221804444</v>
      </c>
      <c r="D31" s="3">
        <f>B31-C31</f>
        <v/>
      </c>
      <c r="E31" s="11">
        <f>F1!L21</f>
        <v/>
      </c>
      <c r="F31" s="3" t="n">
        <v>745.1813326392955</v>
      </c>
      <c r="G31" s="3">
        <f>E31-F31</f>
        <v/>
      </c>
      <c r="H31" s="11">
        <f>F1!O21</f>
        <v/>
      </c>
      <c r="I31" s="3" t="n">
        <v>1359.9019301359</v>
      </c>
      <c r="J31" s="3">
        <f>H31-I31</f>
        <v/>
      </c>
      <c r="K31" s="11">
        <f>F1!P21</f>
        <v/>
      </c>
      <c r="L31" s="3" t="n">
        <v>125.5188544691912</v>
      </c>
      <c r="M31" s="3">
        <f>K31-L31</f>
        <v/>
      </c>
    </row>
    <row r="32">
      <c r="A32" s="3" t="n">
        <v>14</v>
      </c>
      <c r="B32" s="11">
        <f>F1!E22</f>
        <v/>
      </c>
      <c r="C32" s="3" t="n">
        <v>0.4259404840546614</v>
      </c>
      <c r="D32" s="3">
        <f>B32-C32</f>
        <v/>
      </c>
      <c r="E32" s="11">
        <f>F1!L22</f>
        <v/>
      </c>
      <c r="F32" s="3" t="n">
        <v>798.9827257653546</v>
      </c>
      <c r="G32" s="3">
        <f>E32-F32</f>
        <v/>
      </c>
      <c r="H32" s="11">
        <f>F1!O22</f>
        <v/>
      </c>
      <c r="I32" s="3" t="n">
        <v>1334.413955163309</v>
      </c>
      <c r="J32" s="3">
        <f>H32-I32</f>
        <v/>
      </c>
      <c r="K32" s="11">
        <f>F1!P22</f>
        <v/>
      </c>
      <c r="L32" s="3" t="n">
        <v>125.7359407768295</v>
      </c>
      <c r="M32" s="3">
        <f>K32-L32</f>
        <v/>
      </c>
    </row>
    <row r="33">
      <c r="A33" s="3" t="n">
        <v>15</v>
      </c>
      <c r="B33" s="11">
        <f>F1!E23</f>
        <v/>
      </c>
      <c r="C33" s="3" t="n">
        <v>0.4037702997478039</v>
      </c>
      <c r="D33" s="3">
        <f>B33-C33</f>
        <v/>
      </c>
      <c r="E33" s="11">
        <f>F1!L23</f>
        <v/>
      </c>
      <c r="F33" s="3" t="n">
        <v>812.5284164395773</v>
      </c>
      <c r="G33" s="3">
        <f>E33-F33</f>
        <v/>
      </c>
      <c r="H33" s="11">
        <f>F1!O23</f>
        <v/>
      </c>
      <c r="I33" s="3" t="n">
        <v>1261.664137353916</v>
      </c>
      <c r="J33" s="3">
        <f>H33-I33</f>
        <v/>
      </c>
      <c r="K33" s="11">
        <f>F1!P23</f>
        <v/>
      </c>
      <c r="L33" s="3" t="n">
        <v>123.4474420895217</v>
      </c>
      <c r="M33" s="3">
        <f>K33-L33</f>
        <v/>
      </c>
    </row>
    <row r="34">
      <c r="A34" s="3" t="n">
        <v>16</v>
      </c>
      <c r="B34" s="11">
        <f>F1!E24</f>
        <v/>
      </c>
      <c r="C34" s="3" t="n">
        <v>0.3826878556304489</v>
      </c>
      <c r="D34" s="3">
        <f>B34-C34</f>
        <v/>
      </c>
      <c r="E34" s="11">
        <f>F1!L24</f>
        <v/>
      </c>
      <c r="F34" s="3" t="n">
        <v>778.8899560528359</v>
      </c>
      <c r="G34" s="3">
        <f>E34-F34</f>
        <v/>
      </c>
      <c r="H34" s="11">
        <f>F1!O24</f>
        <v/>
      </c>
      <c r="I34" s="3" t="n">
        <v>1136.736911189861</v>
      </c>
      <c r="J34" s="3">
        <f>H34-I34</f>
        <v/>
      </c>
      <c r="K34" s="11">
        <f>F1!P24</f>
        <v/>
      </c>
      <c r="L34" s="3" t="n">
        <v>118.3925268487245</v>
      </c>
      <c r="M34" s="3">
        <f>K34-L34</f>
        <v/>
      </c>
    </row>
    <row r="35">
      <c r="A35" s="3" t="n">
        <v>17</v>
      </c>
      <c r="B35" s="11">
        <f>F1!E25</f>
        <v/>
      </c>
      <c r="C35" s="3" t="n">
        <v>0.3626384290096145</v>
      </c>
      <c r="D35" s="3">
        <f>B35-C35</f>
        <v/>
      </c>
      <c r="E35" s="11">
        <f>F1!L25</f>
        <v/>
      </c>
      <c r="F35" s="3" t="n">
        <v>690.2388869426536</v>
      </c>
      <c r="G35" s="3">
        <f>E35-F35</f>
        <v/>
      </c>
      <c r="H35" s="11">
        <f>F1!O25</f>
        <v/>
      </c>
      <c r="I35" s="3" t="n">
        <v>954.2611320795154</v>
      </c>
      <c r="J35" s="3">
        <f>H35-I35</f>
        <v/>
      </c>
      <c r="K35" s="11">
        <f>F1!P25</f>
        <v/>
      </c>
      <c r="L35" s="3" t="n">
        <v>110.2866638123055</v>
      </c>
      <c r="M35" s="3">
        <f>K35-L35</f>
        <v/>
      </c>
    </row>
    <row r="36">
      <c r="A36" s="3" t="n">
        <v>18</v>
      </c>
      <c r="B36" s="11">
        <f>F1!E26</f>
        <v/>
      </c>
      <c r="C36" s="3" t="n">
        <v>0.3435700457837618</v>
      </c>
      <c r="D36" s="3">
        <f>B36-C36</f>
        <v/>
      </c>
      <c r="E36" s="11">
        <f>F1!L26</f>
        <v/>
      </c>
      <c r="F36" s="3" t="n">
        <v>537.7361273485767</v>
      </c>
      <c r="G36" s="3">
        <f>E36-F36</f>
        <v/>
      </c>
      <c r="H36" s="11">
        <f>F1!O26</f>
        <v/>
      </c>
      <c r="I36" s="3" t="n">
        <v>708.3644134283065</v>
      </c>
      <c r="J36" s="3">
        <f>H36-I36</f>
        <v/>
      </c>
      <c r="K36" s="11">
        <f>F1!P26</f>
        <v/>
      </c>
      <c r="L36" s="3" t="n">
        <v>98.81933712188629</v>
      </c>
      <c r="M36" s="3">
        <f>K36-L36</f>
        <v/>
      </c>
    </row>
    <row r="37">
      <c r="A37" s="3" t="n">
        <v>19</v>
      </c>
      <c r="B37" s="11">
        <f>F1!E27</f>
        <v/>
      </c>
      <c r="C37" s="3" t="n">
        <v>0.325433345453645</v>
      </c>
      <c r="D37" s="3">
        <f>B37-C37</f>
        <v/>
      </c>
      <c r="E37" s="11">
        <f>F1!L27</f>
        <v/>
      </c>
      <c r="F37" s="3" t="n">
        <v>311.4070287673241</v>
      </c>
      <c r="G37" s="3">
        <f>E37-F37</f>
        <v/>
      </c>
      <c r="H37" s="11">
        <f>F1!O27</f>
        <v/>
      </c>
      <c r="I37" s="3" t="n">
        <v>392.6220833773546</v>
      </c>
      <c r="J37" s="3">
        <f>H37-I37</f>
        <v/>
      </c>
      <c r="K37" s="11">
        <f>F1!P27</f>
        <v/>
      </c>
      <c r="L37" s="3" t="n">
        <v>83.65150624833154</v>
      </c>
      <c r="M37" s="3">
        <f>K37-L37</f>
        <v/>
      </c>
    </row>
    <row r="39">
      <c r="A39" s="2" t="inlineStr">
        <is>
          <t>Largest absolute difference</t>
        </is>
      </c>
      <c r="B39" s="2">
        <f>MAX(MAX(ABS(MIN(D5:D14)),ABS(MAX(D5:D14))),MAX(ABS(MIN(D18:D37)),ABS(MAX(D18:D37))),MAX(ABS(MIN(G18:G37)),ABS(MAX(G18:G37))),MAX(ABS(MIN(J18:J37)),ABS(MAX(J18:J37))),MAX(ABS(MIN(M18:M37)),ABS(MAX(M18:M37))))</f>
        <v/>
      </c>
    </row>
    <row r="40">
      <c r="A40" s="2" t="inlineStr">
        <is>
          <t>Reconciled within €0.01?</t>
        </is>
      </c>
      <c r="B40" s="2">
        <f>IF(B39&lt;0.01,"YES","NO")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Reconciliation: Reference vs the Python model (tolerance €0.01)</t>
        </is>
      </c>
    </row>
    <row r="2">
      <c r="A2" s="5" t="inlineStr">
        <is>
          <t>Green = formula from the model sheet; black numbers = Python values; difference = Excel − Python.</t>
        </is>
      </c>
    </row>
    <row r="4">
      <c r="A4" s="2" t="inlineStr">
        <is>
          <t>Item</t>
        </is>
      </c>
      <c r="B4" s="2" t="inlineStr">
        <is>
          <t>Excel</t>
        </is>
      </c>
      <c r="C4" s="2" t="inlineStr">
        <is>
          <t>Python</t>
        </is>
      </c>
      <c r="D4" s="2" t="inlineStr">
        <is>
          <t>Difference</t>
        </is>
      </c>
    </row>
    <row r="5">
      <c r="A5" s="3" t="inlineStr">
        <is>
          <t>Premium</t>
        </is>
      </c>
      <c r="B5" s="11">
        <f>Reference!C2</f>
        <v/>
      </c>
      <c r="C5" s="3" t="n">
        <v>320.3763586627233</v>
      </c>
      <c r="D5" s="3">
        <f>B5-C5</f>
        <v/>
      </c>
    </row>
    <row r="6">
      <c r="A6" s="3" t="inlineStr">
        <is>
          <t>NPV</t>
        </is>
      </c>
      <c r="B6" s="11">
        <f>Reference!C3</f>
        <v/>
      </c>
      <c r="C6" s="3" t="n">
        <v>93.4494033342167</v>
      </c>
      <c r="D6" s="3">
        <f>B6-C6</f>
        <v/>
      </c>
    </row>
    <row r="7">
      <c r="A7" s="3" t="inlineStr">
        <is>
          <t>Profit margin</t>
        </is>
      </c>
      <c r="B7" s="11">
        <f>Reference!C5</f>
        <v/>
      </c>
      <c r="C7" s="3" t="n">
        <v>0.0412516284929892</v>
      </c>
      <c r="D7" s="3">
        <f>B7-C7</f>
        <v/>
      </c>
    </row>
    <row r="8">
      <c r="A8" s="3" t="inlineStr">
        <is>
          <t>IRR</t>
        </is>
      </c>
      <c r="B8" s="11">
        <f>Reference!F2</f>
        <v/>
      </c>
      <c r="C8" s="3" t="n">
        <v>0.1400518840808608</v>
      </c>
      <c r="D8" s="3">
        <f>B8-C8</f>
        <v/>
      </c>
    </row>
    <row r="9">
      <c r="A9" s="3" t="inlineStr">
        <is>
          <t>V at issue</t>
        </is>
      </c>
      <c r="B9" s="11">
        <f>Reference!F4</f>
        <v/>
      </c>
      <c r="C9" s="3" t="n">
        <v>-238.5371646893919</v>
      </c>
      <c r="D9" s="3">
        <f>B9-C9</f>
        <v/>
      </c>
    </row>
    <row r="10">
      <c r="A10" s="3" t="inlineStr">
        <is>
          <t>SII loss: mortality</t>
        </is>
      </c>
      <c r="B10" s="11">
        <f>Reference!I2</f>
        <v/>
      </c>
      <c r="C10" s="3" t="n">
        <v>205.0418894118673</v>
      </c>
      <c r="D10" s="3">
        <f>B10-C10</f>
        <v/>
      </c>
    </row>
    <row r="11">
      <c r="A11" s="3" t="inlineStr">
        <is>
          <t>SII loss: lapse_up</t>
        </is>
      </c>
      <c r="B11" s="11">
        <f>Reference!I3</f>
        <v/>
      </c>
      <c r="C11" s="3" t="n">
        <v>38.49042760352108</v>
      </c>
      <c r="D11" s="3">
        <f>B11-C11</f>
        <v/>
      </c>
    </row>
    <row r="12">
      <c r="A12" s="3" t="inlineStr">
        <is>
          <t>SII loss: mass</t>
        </is>
      </c>
      <c r="B12" s="11">
        <f>Reference!I4</f>
        <v/>
      </c>
      <c r="C12" s="3" t="n">
        <v>95.41486587575679</v>
      </c>
      <c r="D12" s="3">
        <f>B12-C12</f>
        <v/>
      </c>
    </row>
    <row r="13">
      <c r="A13" s="3" t="inlineStr">
        <is>
          <t>SII loss: expense</t>
        </is>
      </c>
      <c r="B13" s="11">
        <f>Reference!I5</f>
        <v/>
      </c>
      <c r="C13" s="3" t="n">
        <v>180.9409112686056</v>
      </c>
      <c r="D13" s="3">
        <f>B13-C13</f>
        <v/>
      </c>
    </row>
    <row r="14">
      <c r="A14" s="3" t="inlineStr">
        <is>
          <t>SII loss: cat</t>
        </is>
      </c>
      <c r="B14" s="11">
        <f>Reference!I6</f>
        <v/>
      </c>
      <c r="C14" s="3" t="n">
        <v>365.3549221957684</v>
      </c>
      <c r="D14" s="3">
        <f>B14-C14</f>
        <v/>
      </c>
    </row>
    <row r="17">
      <c r="A17" s="2" t="inlineStr">
        <is>
          <t>t</t>
        </is>
      </c>
      <c r="B17" s="2" t="inlineStr">
        <is>
          <t>ℓ_t Excel</t>
        </is>
      </c>
      <c r="C17" s="2" t="inlineStr">
        <is>
          <t>ℓ_t Python</t>
        </is>
      </c>
      <c r="D17" s="2" t="inlineStr">
        <is>
          <t>ℓ_t Diff</t>
        </is>
      </c>
      <c r="E17" s="2" t="inlineStr">
        <is>
          <t>V_t Excel</t>
        </is>
      </c>
      <c r="F17" s="2" t="inlineStr">
        <is>
          <t>V_t Python</t>
        </is>
      </c>
      <c r="G17" s="2" t="inlineStr">
        <is>
          <t>V_t Diff</t>
        </is>
      </c>
      <c r="H17" s="2" t="inlineStr">
        <is>
          <t>Reserve Excel</t>
        </is>
      </c>
      <c r="I17" s="2" t="inlineStr">
        <is>
          <t>Reserve Python</t>
        </is>
      </c>
      <c r="J17" s="2" t="inlineStr">
        <is>
          <t>Reserve Diff</t>
        </is>
      </c>
      <c r="K17" s="2" t="inlineStr">
        <is>
          <t>Profit vector Excel</t>
        </is>
      </c>
      <c r="L17" s="2" t="inlineStr">
        <is>
          <t>Profit vector Python</t>
        </is>
      </c>
      <c r="M17" s="2" t="inlineStr">
        <is>
          <t>Profit vector Diff</t>
        </is>
      </c>
    </row>
    <row r="18">
      <c r="A18" s="3" t="n">
        <v>0</v>
      </c>
      <c r="B18" s="11">
        <f>Reference!E8</f>
        <v/>
      </c>
      <c r="C18" s="3" t="n">
        <v>1</v>
      </c>
      <c r="D18" s="3">
        <f>B18-C18</f>
        <v/>
      </c>
      <c r="E18" s="11">
        <f>Reference!L8</f>
        <v/>
      </c>
      <c r="F18" s="3" t="n">
        <v>-238.5371646893919</v>
      </c>
      <c r="G18" s="3">
        <f>E18-F18</f>
        <v/>
      </c>
      <c r="H18" s="11">
        <f>Reference!O8</f>
        <v/>
      </c>
      <c r="I18" s="3" t="n">
        <v>0</v>
      </c>
      <c r="J18" s="3">
        <f>H18-I18</f>
        <v/>
      </c>
      <c r="K18" s="11">
        <f>Reference!P8</f>
        <v/>
      </c>
      <c r="L18" s="3" t="n">
        <v>-381.2368136895847</v>
      </c>
      <c r="M18" s="3">
        <f>K18-L18</f>
        <v/>
      </c>
    </row>
    <row r="19">
      <c r="A19" s="3" t="n">
        <v>1</v>
      </c>
      <c r="B19" s="11">
        <f>Reference!E9</f>
        <v/>
      </c>
      <c r="C19" s="3" t="n">
        <v>0.9398253841963308</v>
      </c>
      <c r="D19" s="3">
        <f>B19-C19</f>
        <v/>
      </c>
      <c r="E19" s="11">
        <f>Reference!L9</f>
        <v/>
      </c>
      <c r="F19" s="3" t="n">
        <v>-667.0708238592244</v>
      </c>
      <c r="G19" s="3">
        <f>E19-F19</f>
        <v/>
      </c>
      <c r="H19" s="11">
        <f>Reference!O9</f>
        <v/>
      </c>
      <c r="I19" s="3" t="n">
        <v>0</v>
      </c>
      <c r="J19" s="3">
        <f>H19-I19</f>
        <v/>
      </c>
      <c r="K19" s="11">
        <f>Reference!P9</f>
        <v/>
      </c>
      <c r="L19" s="3" t="n">
        <v>188.4662034662021</v>
      </c>
      <c r="M19" s="3">
        <f>K19-L19</f>
        <v/>
      </c>
    </row>
    <row r="20">
      <c r="A20" s="3" t="n">
        <v>2</v>
      </c>
      <c r="B20" s="11">
        <f>Reference!E10</f>
        <v/>
      </c>
      <c r="C20" s="3" t="n">
        <v>0.8550280543990503</v>
      </c>
      <c r="D20" s="3">
        <f>B20-C20</f>
        <v/>
      </c>
      <c r="E20" s="11">
        <f>Reference!L10</f>
        <v/>
      </c>
      <c r="F20" s="3" t="n">
        <v>-548.0670156115074</v>
      </c>
      <c r="G20" s="3">
        <f>E20-F20</f>
        <v/>
      </c>
      <c r="H20" s="11">
        <f>Reference!O10</f>
        <v/>
      </c>
      <c r="I20" s="3" t="n">
        <v>0</v>
      </c>
      <c r="J20" s="3">
        <f>H20-I20</f>
        <v/>
      </c>
      <c r="K20" s="11">
        <f>Reference!P10</f>
        <v/>
      </c>
      <c r="L20" s="3" t="n">
        <v>142.3452176941518</v>
      </c>
      <c r="M20" s="3">
        <f>K20-L20</f>
        <v/>
      </c>
    </row>
    <row r="21">
      <c r="A21" s="3" t="n">
        <v>3</v>
      </c>
      <c r="B21" s="11">
        <f>Reference!E11</f>
        <v/>
      </c>
      <c r="C21" s="3" t="n">
        <v>0.7863850680639863</v>
      </c>
      <c r="D21" s="3">
        <f>B21-C21</f>
        <v/>
      </c>
      <c r="E21" s="11">
        <f>Reference!L11</f>
        <v/>
      </c>
      <c r="F21" s="3" t="n">
        <v>-426.5147736364997</v>
      </c>
      <c r="G21" s="3">
        <f>E21-F21</f>
        <v/>
      </c>
      <c r="H21" s="11">
        <f>Reference!O11</f>
        <v/>
      </c>
      <c r="I21" s="3" t="n">
        <v>32.4994095935773</v>
      </c>
      <c r="J21" s="3">
        <f>H21-I21</f>
        <v/>
      </c>
      <c r="K21" s="11">
        <f>Reference!P11</f>
        <v/>
      </c>
      <c r="L21" s="3" t="n">
        <v>23.00044829770084</v>
      </c>
      <c r="M21" s="3">
        <f>K21-L21</f>
        <v/>
      </c>
    </row>
    <row r="22">
      <c r="A22" s="3" t="n">
        <v>4</v>
      </c>
      <c r="B22" s="11">
        <f>Reference!E12</f>
        <v/>
      </c>
      <c r="C22" s="3" t="n">
        <v>0.7310684864401807</v>
      </c>
      <c r="D22" s="3">
        <f>B22-C22</f>
        <v/>
      </c>
      <c r="E22" s="11">
        <f>Reference!L12</f>
        <v/>
      </c>
      <c r="F22" s="3" t="n">
        <v>-306.3286789855117</v>
      </c>
      <c r="G22" s="3">
        <f>E22-F22</f>
        <v/>
      </c>
      <c r="H22" s="11">
        <f>Reference!O12</f>
        <v/>
      </c>
      <c r="I22" s="3" t="n">
        <v>177.4885750389138</v>
      </c>
      <c r="J22" s="3">
        <f>H22-I22</f>
        <v/>
      </c>
      <c r="K22" s="11">
        <f>Reference!P12</f>
        <v/>
      </c>
      <c r="L22" s="3" t="n">
        <v>31.32696073715192</v>
      </c>
      <c r="M22" s="3">
        <f>K22-L22</f>
        <v/>
      </c>
    </row>
    <row r="23">
      <c r="A23" s="3" t="n">
        <v>5</v>
      </c>
      <c r="B23" s="11">
        <f>Reference!E13</f>
        <v/>
      </c>
      <c r="C23" s="3" t="n">
        <v>0.6869026001630795</v>
      </c>
      <c r="D23" s="3">
        <f>B23-C23</f>
        <v/>
      </c>
      <c r="E23" s="11">
        <f>Reference!L13</f>
        <v/>
      </c>
      <c r="F23" s="3" t="n">
        <v>-192.324827097586</v>
      </c>
      <c r="G23" s="3">
        <f>E23-F23</f>
        <v/>
      </c>
      <c r="H23" s="11">
        <f>Reference!O13</f>
        <v/>
      </c>
      <c r="I23" s="3" t="n">
        <v>304.7070667833563</v>
      </c>
      <c r="J23" s="3">
        <f>H23-I23</f>
        <v/>
      </c>
      <c r="K23" s="11">
        <f>Reference!P13</f>
        <v/>
      </c>
      <c r="L23" s="3" t="n">
        <v>35.94731301899697</v>
      </c>
      <c r="M23" s="3">
        <f>K23-L23</f>
        <v/>
      </c>
    </row>
    <row r="24">
      <c r="A24" s="3" t="n">
        <v>6</v>
      </c>
      <c r="B24" s="11">
        <f>Reference!E14</f>
        <v/>
      </c>
      <c r="C24" s="3" t="n">
        <v>0.6522342166879994</v>
      </c>
      <c r="D24" s="3">
        <f>B24-C24</f>
        <v/>
      </c>
      <c r="E24" s="11">
        <f>Reference!L14</f>
        <v/>
      </c>
      <c r="F24" s="3" t="n">
        <v>-83.71443455057019</v>
      </c>
      <c r="G24" s="3">
        <f>E24-F24</f>
        <v/>
      </c>
      <c r="H24" s="11">
        <f>Reference!O14</f>
        <v/>
      </c>
      <c r="I24" s="3" t="n">
        <v>417.5818239585149</v>
      </c>
      <c r="J24" s="3">
        <f>H24-I24</f>
        <v/>
      </c>
      <c r="K24" s="11">
        <f>Reference!P14</f>
        <v/>
      </c>
      <c r="L24" s="3" t="n">
        <v>42.55553087157597</v>
      </c>
      <c r="M24" s="3">
        <f>K24-L24</f>
        <v/>
      </c>
    </row>
    <row r="25">
      <c r="A25" s="3" t="n">
        <v>7</v>
      </c>
      <c r="B25" s="11">
        <f>Reference!E15</f>
        <v/>
      </c>
      <c r="C25" s="3" t="n">
        <v>0.6192943989974719</v>
      </c>
      <c r="D25" s="3">
        <f>B25-C25</f>
        <v/>
      </c>
      <c r="E25" s="11">
        <f>Reference!L15</f>
        <v/>
      </c>
      <c r="F25" s="3" t="n">
        <v>22.79121509977711</v>
      </c>
      <c r="G25" s="3">
        <f>E25-F25</f>
        <v/>
      </c>
      <c r="H25" s="11">
        <f>Reference!O15</f>
        <v/>
      </c>
      <c r="I25" s="3" t="n">
        <v>521.7708229061673</v>
      </c>
      <c r="J25" s="3">
        <f>H25-I25</f>
        <v/>
      </c>
      <c r="K25" s="11">
        <f>Reference!P15</f>
        <v/>
      </c>
      <c r="L25" s="3" t="n">
        <v>48.71993301957377</v>
      </c>
      <c r="M25" s="3">
        <f>K25-L25</f>
        <v/>
      </c>
    </row>
    <row r="26">
      <c r="A26" s="3" t="n">
        <v>8</v>
      </c>
      <c r="B26" s="11">
        <f>Reference!E16</f>
        <v/>
      </c>
      <c r="C26" s="3" t="n">
        <v>0.5879955310714672</v>
      </c>
      <c r="D26" s="3">
        <f>B26-C26</f>
        <v/>
      </c>
      <c r="E26" s="11">
        <f>Reference!L16</f>
        <v/>
      </c>
      <c r="F26" s="3" t="n">
        <v>125.8375106908565</v>
      </c>
      <c r="G26" s="3">
        <f>E26-F26</f>
        <v/>
      </c>
      <c r="H26" s="11">
        <f>Reference!O16</f>
        <v/>
      </c>
      <c r="I26" s="3" t="n">
        <v>615.8306105614299</v>
      </c>
      <c r="J26" s="3">
        <f>H26-I26</f>
        <v/>
      </c>
      <c r="K26" s="11">
        <f>Reference!P16</f>
        <v/>
      </c>
      <c r="L26" s="3" t="n">
        <v>54.37530006137251</v>
      </c>
      <c r="M26" s="3">
        <f>K26-L26</f>
        <v/>
      </c>
    </row>
    <row r="27">
      <c r="A27" s="3" t="n">
        <v>9</v>
      </c>
      <c r="B27" s="11">
        <f>Reference!E17</f>
        <v/>
      </c>
      <c r="C27" s="3" t="n">
        <v>0.5582538449390353</v>
      </c>
      <c r="D27" s="3">
        <f>B27-C27</f>
        <v/>
      </c>
      <c r="E27" s="11">
        <f>Reference!L17</f>
        <v/>
      </c>
      <c r="F27" s="3" t="n">
        <v>223.5792706554959</v>
      </c>
      <c r="G27" s="3">
        <f>E27-F27</f>
        <v/>
      </c>
      <c r="H27" s="11">
        <f>Reference!O17</f>
        <v/>
      </c>
      <c r="I27" s="3" t="n">
        <v>697.8881079932913</v>
      </c>
      <c r="J27" s="3">
        <f>H27-I27</f>
        <v/>
      </c>
      <c r="K27" s="11">
        <f>Reference!P17</f>
        <v/>
      </c>
      <c r="L27" s="3" t="n">
        <v>59.40836305123094</v>
      </c>
      <c r="M27" s="3">
        <f>K27-L27</f>
        <v/>
      </c>
    </row>
    <row r="28">
      <c r="A28" s="3" t="n">
        <v>10</v>
      </c>
      <c r="B28" s="11">
        <f>Reference!E18</f>
        <v/>
      </c>
      <c r="C28" s="3" t="n">
        <v>0.5299904926921332</v>
      </c>
      <c r="D28" s="3">
        <f>B28-C28</f>
        <v/>
      </c>
      <c r="E28" s="11">
        <f>Reference!L18</f>
        <v/>
      </c>
      <c r="F28" s="3" t="n">
        <v>314.2013677859227</v>
      </c>
      <c r="G28" s="3">
        <f>E28-F28</f>
        <v/>
      </c>
      <c r="H28" s="11">
        <f>Reference!O18</f>
        <v/>
      </c>
      <c r="I28" s="3" t="n">
        <v>766.2157535244153</v>
      </c>
      <c r="J28" s="3">
        <f>H28-I28</f>
        <v/>
      </c>
      <c r="K28" s="11">
        <f>Reference!P18</f>
        <v/>
      </c>
      <c r="L28" s="3" t="n">
        <v>63.74601600888286</v>
      </c>
      <c r="M28" s="3">
        <f>K28-L28</f>
        <v/>
      </c>
    </row>
    <row r="29">
      <c r="A29" s="3" t="n">
        <v>11</v>
      </c>
      <c r="B29" s="11">
        <f>Reference!E19</f>
        <v/>
      </c>
      <c r="C29" s="3" t="n">
        <v>0.5031297517052491</v>
      </c>
      <c r="D29" s="3">
        <f>B29-C29</f>
        <v/>
      </c>
      <c r="E29" s="11">
        <f>Reference!L19</f>
        <v/>
      </c>
      <c r="F29" s="3" t="n">
        <v>395.1708859312595</v>
      </c>
      <c r="G29" s="3">
        <f>E29-F29</f>
        <v/>
      </c>
      <c r="H29" s="11">
        <f>Reference!O19</f>
        <v/>
      </c>
      <c r="I29" s="3" t="n">
        <v>818.4522435890233</v>
      </c>
      <c r="J29" s="3">
        <f>H29-I29</f>
        <v/>
      </c>
      <c r="K29" s="11">
        <f>Reference!P19</f>
        <v/>
      </c>
      <c r="L29" s="3" t="n">
        <v>67.26367059630763</v>
      </c>
      <c r="M29" s="3">
        <f>K29-L29</f>
        <v/>
      </c>
    </row>
    <row r="30">
      <c r="A30" s="3" t="n">
        <v>12</v>
      </c>
      <c r="B30" s="11">
        <f>Reference!E20</f>
        <v/>
      </c>
      <c r="C30" s="3" t="n">
        <v>0.4775997378672758</v>
      </c>
      <c r="D30" s="3">
        <f>B30-C30</f>
        <v/>
      </c>
      <c r="E30" s="11">
        <f>Reference!L20</f>
        <v/>
      </c>
      <c r="F30" s="3" t="n">
        <v>463.5504436241404</v>
      </c>
      <c r="G30" s="3">
        <f>E30-F30</f>
        <v/>
      </c>
      <c r="H30" s="11">
        <f>Reference!O20</f>
        <v/>
      </c>
      <c r="I30" s="3" t="n">
        <v>851.9762301492899</v>
      </c>
      <c r="J30" s="3">
        <f>H30-I30</f>
        <v/>
      </c>
      <c r="K30" s="11">
        <f>Reference!P20</f>
        <v/>
      </c>
      <c r="L30" s="3" t="n">
        <v>69.82226439468718</v>
      </c>
      <c r="M30" s="3">
        <f>K30-L30</f>
        <v/>
      </c>
    </row>
    <row r="31">
      <c r="A31" s="3" t="n">
        <v>13</v>
      </c>
      <c r="B31" s="11">
        <f>Reference!E21</f>
        <v/>
      </c>
      <c r="C31" s="3" t="n">
        <v>0.4533322399005108</v>
      </c>
      <c r="D31" s="3">
        <f>B31-C31</f>
        <v/>
      </c>
      <c r="E31" s="11">
        <f>Reference!L21</f>
        <v/>
      </c>
      <c r="F31" s="3" t="n">
        <v>515.962595020496</v>
      </c>
      <c r="G31" s="3">
        <f>E31-F31</f>
        <v/>
      </c>
      <c r="H31" s="11">
        <f>Reference!O21</f>
        <v/>
      </c>
      <c r="I31" s="3" t="n">
        <v>863.8979642377271</v>
      </c>
      <c r="J31" s="3">
        <f>H31-I31</f>
        <v/>
      </c>
      <c r="K31" s="11">
        <f>Reference!P21</f>
        <v/>
      </c>
      <c r="L31" s="3" t="n">
        <v>71.2678360510821</v>
      </c>
      <c r="M31" s="3">
        <f>K31-L31</f>
        <v/>
      </c>
    </row>
    <row r="32">
      <c r="A32" s="3" t="n">
        <v>14</v>
      </c>
      <c r="B32" s="11">
        <f>Reference!E22</f>
        <v/>
      </c>
      <c r="C32" s="3" t="n">
        <v>0.4302625572789296</v>
      </c>
      <c r="D32" s="3">
        <f>B32-C32</f>
        <v/>
      </c>
      <c r="E32" s="11">
        <f>Reference!L22</f>
        <v/>
      </c>
      <c r="F32" s="3" t="n">
        <v>548.5506728890335</v>
      </c>
      <c r="G32" s="3">
        <f>E32-F32</f>
        <v/>
      </c>
      <c r="H32" s="11">
        <f>Reference!O22</f>
        <v/>
      </c>
      <c r="I32" s="3" t="n">
        <v>851.050204684497</v>
      </c>
      <c r="J32" s="3">
        <f>H32-I32</f>
        <v/>
      </c>
      <c r="K32" s="11">
        <f>Reference!P22</f>
        <v/>
      </c>
      <c r="L32" s="3" t="n">
        <v>71.45501494202665</v>
      </c>
      <c r="M32" s="3">
        <f>K32-L32</f>
        <v/>
      </c>
    </row>
    <row r="33">
      <c r="A33" s="3" t="n">
        <v>15</v>
      </c>
      <c r="B33" s="11">
        <f>Reference!E23</f>
        <v/>
      </c>
      <c r="C33" s="3" t="n">
        <v>0.4083284693703971</v>
      </c>
      <c r="D33" s="3">
        <f>B33-C33</f>
        <v/>
      </c>
      <c r="E33" s="11">
        <f>Reference!L23</f>
        <v/>
      </c>
      <c r="F33" s="3" t="n">
        <v>556.3735650229701</v>
      </c>
      <c r="G33" s="3">
        <f>E33-F33</f>
        <v/>
      </c>
      <c r="H33" s="11">
        <f>Reference!O23</f>
        <v/>
      </c>
      <c r="I33" s="3" t="n">
        <v>809.3915127788912</v>
      </c>
      <c r="J33" s="3">
        <f>H33-I33</f>
        <v/>
      </c>
      <c r="K33" s="11">
        <f>Reference!P23</f>
        <v/>
      </c>
      <c r="L33" s="3" t="n">
        <v>70.14977253656411</v>
      </c>
      <c r="M33" s="3">
        <f>K33-L33</f>
        <v/>
      </c>
    </row>
    <row r="34">
      <c r="A34" s="3" t="n">
        <v>16</v>
      </c>
      <c r="B34" s="11">
        <f>Reference!E24</f>
        <v/>
      </c>
      <c r="C34" s="3" t="n">
        <v>0.3874716846074746</v>
      </c>
      <c r="D34" s="3">
        <f>B34-C34</f>
        <v/>
      </c>
      <c r="E34" s="11">
        <f>Reference!L24</f>
        <v/>
      </c>
      <c r="F34" s="3" t="n">
        <v>534.246561923233</v>
      </c>
      <c r="G34" s="3">
        <f>E34-F34</f>
        <v/>
      </c>
      <c r="H34" s="11">
        <f>Reference!O24</f>
        <v/>
      </c>
      <c r="I34" s="3" t="n">
        <v>734.9572670230755</v>
      </c>
      <c r="J34" s="3">
        <f>H34-I34</f>
        <v/>
      </c>
      <c r="K34" s="11">
        <f>Reference!P24</f>
        <v/>
      </c>
      <c r="L34" s="3" t="n">
        <v>67.17073655025229</v>
      </c>
      <c r="M34" s="3">
        <f>K34-L34</f>
        <v/>
      </c>
    </row>
    <row r="35">
      <c r="A35" s="3" t="n">
        <v>17</v>
      </c>
      <c r="B35" s="11">
        <f>Reference!E25</f>
        <v/>
      </c>
      <c r="C35" s="3" t="n">
        <v>0.3676359563513202</v>
      </c>
      <c r="D35" s="3">
        <f>B35-C35</f>
        <v/>
      </c>
      <c r="E35" s="11">
        <f>Reference!L25</f>
        <v/>
      </c>
      <c r="F35" s="3" t="n">
        <v>475.5915590835565</v>
      </c>
      <c r="G35" s="3">
        <f>E35-F35</f>
        <v/>
      </c>
      <c r="H35" s="11">
        <f>Reference!O25</f>
        <v/>
      </c>
      <c r="I35" s="3" t="n">
        <v>622.6828516865478</v>
      </c>
      <c r="J35" s="3">
        <f>H35-I35</f>
        <v/>
      </c>
      <c r="K35" s="11">
        <f>Reference!P25</f>
        <v/>
      </c>
      <c r="L35" s="3" t="n">
        <v>62.24343020980598</v>
      </c>
      <c r="M35" s="3">
        <f>K35-L35</f>
        <v/>
      </c>
    </row>
    <row r="36">
      <c r="A36" s="3" t="n">
        <v>18</v>
      </c>
      <c r="B36" s="11">
        <f>Reference!E26</f>
        <v/>
      </c>
      <c r="C36" s="3" t="n">
        <v>0.3487681951651499</v>
      </c>
      <c r="D36" s="3">
        <f>B36-C36</f>
        <v/>
      </c>
      <c r="E36" s="11">
        <f>Reference!L26</f>
        <v/>
      </c>
      <c r="F36" s="3" t="n">
        <v>373.0608454413638</v>
      </c>
      <c r="G36" s="3">
        <f>E36-F36</f>
        <v/>
      </c>
      <c r="H36" s="11">
        <f>Reference!O26</f>
        <v/>
      </c>
      <c r="I36" s="3" t="n">
        <v>467.150292045165</v>
      </c>
      <c r="J36" s="3">
        <f>H36-I36</f>
        <v/>
      </c>
      <c r="K36" s="11">
        <f>Reference!P26</f>
        <v/>
      </c>
      <c r="L36" s="3" t="n">
        <v>55.09833292826681</v>
      </c>
      <c r="M36" s="3">
        <f>K36-L36</f>
        <v/>
      </c>
    </row>
    <row r="37">
      <c r="A37" s="3" t="n">
        <v>19</v>
      </c>
      <c r="B37" s="11">
        <f>Reference!E27</f>
        <v/>
      </c>
      <c r="C37" s="3" t="n">
        <v>0.3308175902279605</v>
      </c>
      <c r="D37" s="3">
        <f>B37-C37</f>
        <v/>
      </c>
      <c r="E37" s="11">
        <f>Reference!L27</f>
        <v/>
      </c>
      <c r="F37" s="3" t="n">
        <v>217.8995938952666</v>
      </c>
      <c r="G37" s="3">
        <f>E37-F37</f>
        <v/>
      </c>
      <c r="H37" s="11">
        <f>Reference!O27</f>
        <v/>
      </c>
      <c r="I37" s="3" t="n">
        <v>261.9822635269785</v>
      </c>
      <c r="J37" s="3">
        <f>H37-I37</f>
        <v/>
      </c>
      <c r="K37" s="11">
        <f>Reference!P27</f>
        <v/>
      </c>
      <c r="L37" s="3" t="n">
        <v>45.4051497206633</v>
      </c>
      <c r="M37" s="3">
        <f>K37-L37</f>
        <v/>
      </c>
    </row>
    <row r="39">
      <c r="A39" s="2" t="inlineStr">
        <is>
          <t>Largest absolute difference</t>
        </is>
      </c>
      <c r="B39" s="2">
        <f>MAX(MAX(ABS(MIN(D5:D14)),ABS(MAX(D5:D14))),MAX(ABS(MIN(D18:D37)),ABS(MAX(D18:D37))),MAX(ABS(MIN(G18:G37)),ABS(MAX(G18:G37))),MAX(ABS(MIN(J18:J37)),ABS(MAX(J18:J37))),MAX(ABS(MIN(M18:M37)),ABS(MAX(M18:M37))))</f>
        <v/>
      </c>
    </row>
    <row r="40">
      <c r="A40" s="2" t="inlineStr">
        <is>
          <t>Reconciled within €0.01?</t>
        </is>
      </c>
      <c r="B40" s="2">
        <f>IF(B39&lt;0.01,"YES","NO")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2026-09-26T13:28:31Z</dcterms:created>
  <dcterms:modified xsi:type="dcterms:W3CDTF">2026-09-26T13:28:31Z</dcterms:modified>
</cp:coreProperties>
</file>